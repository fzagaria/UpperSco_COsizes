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zagaria/mypostdoc/usco_cosizes/tables_leon/tables_paper/github_completeness/"/>
    </mc:Choice>
  </mc:AlternateContent>
  <xr:revisionPtr revIDLastSave="0" documentId="13_ncr:1_{08358D6F-D60B-DF49-A7F3-B75930E6C5D3}" xr6:coauthVersionLast="47" xr6:coauthVersionMax="47" xr10:uidLastSave="{00000000-0000-0000-0000-000000000000}"/>
  <bookViews>
    <workbookView xWindow="51720" yWindow="5920" windowWidth="30200" windowHeight="17440" xr2:uid="{D1CBB7E6-F27B-B349-915E-7B35683F7C0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3" l="1"/>
  <c r="I90" i="3"/>
  <c r="K90" i="3"/>
  <c r="L90" i="3"/>
  <c r="G91" i="3"/>
  <c r="I91" i="3"/>
  <c r="K91" i="3"/>
  <c r="L91" i="3"/>
  <c r="I80" i="3"/>
  <c r="K80" i="3"/>
  <c r="I81" i="3"/>
  <c r="K81" i="3"/>
  <c r="G70" i="3"/>
  <c r="I70" i="3"/>
  <c r="K70" i="3"/>
  <c r="G71" i="3"/>
  <c r="I71" i="3"/>
  <c r="K71" i="3"/>
  <c r="G60" i="3"/>
  <c r="I60" i="3"/>
  <c r="K60" i="3"/>
  <c r="G61" i="3"/>
  <c r="I61" i="3"/>
  <c r="K61" i="3"/>
  <c r="G50" i="3"/>
  <c r="I50" i="3"/>
  <c r="K50" i="3"/>
  <c r="G51" i="3"/>
  <c r="I51" i="3"/>
  <c r="K51" i="3"/>
  <c r="G40" i="3"/>
  <c r="I40" i="3"/>
  <c r="J40" i="3"/>
  <c r="K40" i="3"/>
  <c r="G41" i="3"/>
  <c r="I41" i="3"/>
  <c r="J41" i="3"/>
  <c r="K41" i="3"/>
  <c r="G30" i="3"/>
  <c r="I30" i="3"/>
  <c r="K30" i="3"/>
  <c r="G31" i="3"/>
  <c r="I31" i="3"/>
  <c r="K31" i="3"/>
  <c r="G20" i="3"/>
  <c r="I20" i="3"/>
  <c r="J20" i="3"/>
  <c r="K20" i="3"/>
  <c r="L20" i="3"/>
  <c r="G21" i="3"/>
  <c r="I21" i="3"/>
  <c r="J21" i="3"/>
  <c r="K21" i="3"/>
  <c r="L21" i="3"/>
  <c r="F91" i="3"/>
  <c r="E91" i="3"/>
  <c r="D91" i="3"/>
  <c r="C91" i="3"/>
  <c r="B91" i="3"/>
  <c r="F90" i="3"/>
  <c r="E90" i="3"/>
  <c r="D90" i="3"/>
  <c r="C90" i="3"/>
  <c r="B90" i="3"/>
  <c r="E81" i="3"/>
  <c r="D81" i="3"/>
  <c r="C81" i="3"/>
  <c r="B81" i="3"/>
  <c r="E80" i="3"/>
  <c r="D80" i="3"/>
  <c r="C80" i="3"/>
  <c r="B80" i="3"/>
  <c r="E71" i="3"/>
  <c r="D71" i="3"/>
  <c r="C71" i="3"/>
  <c r="B71" i="3"/>
  <c r="E70" i="3"/>
  <c r="D70" i="3"/>
  <c r="C70" i="3"/>
  <c r="B70" i="3"/>
  <c r="F61" i="3"/>
  <c r="E61" i="3"/>
  <c r="D61" i="3"/>
  <c r="C61" i="3"/>
  <c r="B61" i="3"/>
  <c r="F60" i="3"/>
  <c r="E60" i="3"/>
  <c r="D60" i="3"/>
  <c r="C60" i="3"/>
  <c r="B60" i="3"/>
  <c r="E51" i="3"/>
  <c r="D51" i="3"/>
  <c r="C51" i="3"/>
  <c r="B51" i="3"/>
  <c r="E50" i="3"/>
  <c r="D50" i="3"/>
  <c r="C50" i="3"/>
  <c r="B50" i="3"/>
  <c r="F41" i="3"/>
  <c r="E41" i="3"/>
  <c r="D41" i="3"/>
  <c r="C41" i="3"/>
  <c r="B41" i="3"/>
  <c r="F40" i="3"/>
  <c r="E40" i="3"/>
  <c r="D40" i="3"/>
  <c r="C40" i="3"/>
  <c r="B40" i="3"/>
  <c r="E31" i="3"/>
  <c r="D31" i="3"/>
  <c r="C31" i="3"/>
  <c r="B31" i="3"/>
  <c r="E30" i="3"/>
  <c r="D30" i="3"/>
  <c r="C30" i="3"/>
  <c r="B30" i="3"/>
  <c r="F21" i="3"/>
  <c r="E21" i="3"/>
  <c r="D21" i="3"/>
  <c r="C21" i="3"/>
  <c r="B21" i="3"/>
  <c r="F20" i="3"/>
  <c r="E20" i="3"/>
  <c r="D20" i="3"/>
  <c r="C20" i="3"/>
  <c r="B20" i="3"/>
  <c r="E36" i="1"/>
  <c r="D36" i="1"/>
  <c r="E35" i="1"/>
  <c r="D35" i="1"/>
  <c r="E26" i="1"/>
  <c r="D26" i="1"/>
  <c r="E31" i="1"/>
  <c r="D31" i="1"/>
  <c r="E30" i="1"/>
  <c r="D30" i="1"/>
  <c r="D25" i="1"/>
  <c r="E25" i="1"/>
  <c r="P10" i="2"/>
  <c r="L9" i="3"/>
  <c r="M9" i="3"/>
  <c r="N9" i="3"/>
  <c r="O9" i="3"/>
  <c r="P9" i="3"/>
  <c r="Q9" i="3"/>
  <c r="R9" i="3"/>
  <c r="S9" i="3"/>
  <c r="T9" i="3"/>
  <c r="V9" i="3"/>
  <c r="W9" i="3"/>
  <c r="X9" i="3"/>
  <c r="Y9" i="3"/>
  <c r="Z9" i="3"/>
  <c r="AA9" i="3"/>
  <c r="AB9" i="3"/>
  <c r="AC9" i="3"/>
  <c r="AD9" i="3"/>
  <c r="AF9" i="3"/>
  <c r="AG9" i="3"/>
  <c r="AH9" i="3"/>
  <c r="AI9" i="3"/>
  <c r="AK9" i="3"/>
  <c r="AL9" i="3"/>
  <c r="AM9" i="3"/>
  <c r="AN9" i="3"/>
  <c r="AO9" i="3"/>
  <c r="L10" i="3"/>
  <c r="M10" i="3"/>
  <c r="N10" i="3"/>
  <c r="O10" i="3"/>
  <c r="P10" i="3"/>
  <c r="Q10" i="3"/>
  <c r="R10" i="3"/>
  <c r="S10" i="3"/>
  <c r="T10" i="3"/>
  <c r="V10" i="3"/>
  <c r="W10" i="3"/>
  <c r="X10" i="3"/>
  <c r="Y10" i="3"/>
  <c r="Z10" i="3"/>
  <c r="AA10" i="3"/>
  <c r="AB10" i="3"/>
  <c r="AC10" i="3"/>
  <c r="AD10" i="3"/>
  <c r="AF10" i="3"/>
  <c r="AG10" i="3"/>
  <c r="AH10" i="3"/>
  <c r="AI10" i="3"/>
  <c r="AK10" i="3"/>
  <c r="AL10" i="3"/>
  <c r="AM10" i="3"/>
  <c r="AN10" i="3"/>
  <c r="AO10" i="3"/>
  <c r="C9" i="3"/>
  <c r="D9" i="3"/>
  <c r="E9" i="3"/>
  <c r="F9" i="3"/>
  <c r="G9" i="3"/>
  <c r="H9" i="3"/>
  <c r="I9" i="3"/>
  <c r="J9" i="3"/>
  <c r="C10" i="3"/>
  <c r="D10" i="3"/>
  <c r="E10" i="3"/>
  <c r="F10" i="3"/>
  <c r="G10" i="3"/>
  <c r="H10" i="3"/>
  <c r="I10" i="3"/>
  <c r="J10" i="3"/>
  <c r="B10" i="3"/>
  <c r="B9" i="3"/>
  <c r="O9" i="2"/>
  <c r="P9" i="2"/>
  <c r="O10" i="2"/>
  <c r="J9" i="2"/>
  <c r="K9" i="2"/>
  <c r="J10" i="2"/>
  <c r="K10" i="2"/>
  <c r="E9" i="2"/>
  <c r="F9" i="2"/>
  <c r="E10" i="2"/>
  <c r="F10" i="2"/>
  <c r="C9" i="2"/>
  <c r="D9" i="2"/>
  <c r="G9" i="2"/>
  <c r="H9" i="2"/>
  <c r="I9" i="2"/>
  <c r="L9" i="2"/>
  <c r="M9" i="2"/>
  <c r="N9" i="2"/>
  <c r="C10" i="2"/>
  <c r="D10" i="2"/>
  <c r="G10" i="2"/>
  <c r="H10" i="2"/>
  <c r="I10" i="2"/>
  <c r="L10" i="2"/>
  <c r="M10" i="2"/>
  <c r="N10" i="2"/>
  <c r="B10" i="2"/>
  <c r="B9" i="2"/>
  <c r="L21" i="1"/>
  <c r="L20" i="1"/>
  <c r="O21" i="1"/>
  <c r="N21" i="1"/>
  <c r="M21" i="1"/>
  <c r="J21" i="1"/>
  <c r="H21" i="1"/>
  <c r="G21" i="1"/>
  <c r="F21" i="1"/>
  <c r="E21" i="1"/>
  <c r="D21" i="1"/>
  <c r="C21" i="1"/>
  <c r="B21" i="1"/>
  <c r="O20" i="1"/>
  <c r="N20" i="1"/>
  <c r="M20" i="1"/>
  <c r="J20" i="1"/>
  <c r="H20" i="1"/>
  <c r="G20" i="1"/>
  <c r="F20" i="1"/>
  <c r="E20" i="1"/>
  <c r="D20" i="1"/>
  <c r="C20" i="1"/>
  <c r="B20" i="1"/>
  <c r="L9" i="1"/>
  <c r="M9" i="1"/>
  <c r="N9" i="1"/>
  <c r="L10" i="1"/>
  <c r="M10" i="1"/>
  <c r="N10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B10" i="1"/>
  <c r="B9" i="1"/>
</calcChain>
</file>

<file path=xl/sharedStrings.xml><?xml version="1.0" encoding="utf-8"?>
<sst xmlns="http://schemas.openxmlformats.org/spreadsheetml/2006/main" count="246" uniqueCount="39">
  <si>
    <t>Ks</t>
  </si>
  <si>
    <t>Kd</t>
  </si>
  <si>
    <t>KPd</t>
  </si>
  <si>
    <t>KPs</t>
  </si>
  <si>
    <t>K</t>
  </si>
  <si>
    <t>KP</t>
  </si>
  <si>
    <t>discs WISE</t>
  </si>
  <si>
    <t>flux</t>
  </si>
  <si>
    <t>radius</t>
  </si>
  <si>
    <r>
      <t xml:space="preserve">stars </t>
    </r>
    <r>
      <rPr>
        <i/>
        <sz val="18"/>
        <color theme="1"/>
        <rFont val="Tahoma"/>
        <family val="2"/>
      </rPr>
      <t>Gaia</t>
    </r>
  </si>
  <si>
    <r>
      <t xml:space="preserve">stars </t>
    </r>
    <r>
      <rPr>
        <i/>
        <sz val="18"/>
        <color theme="1"/>
        <rFont val="Tahoma"/>
        <family val="2"/>
      </rPr>
      <t>Gaia</t>
    </r>
    <r>
      <rPr>
        <sz val="18"/>
        <color theme="1"/>
        <rFont val="Tahoma"/>
        <family val="2"/>
      </rPr>
      <t>&amp;WISE</t>
    </r>
  </si>
  <si>
    <t>M0–G2</t>
  </si>
  <si>
    <t>M4–M0</t>
  </si>
  <si>
    <t>M8–M4</t>
  </si>
  <si>
    <t>UpperSco Luhman</t>
  </si>
  <si>
    <t>completeness flux</t>
  </si>
  <si>
    <t>completeness radius</t>
  </si>
  <si>
    <t>Lupus Luhman</t>
  </si>
  <si>
    <t>UpperSco Polnitzky</t>
  </si>
  <si>
    <t>Usco (all)</t>
  </si>
  <si>
    <t>CCD</t>
  </si>
  <si>
    <t>SED</t>
  </si>
  <si>
    <t>L22</t>
  </si>
  <si>
    <t>Usco (w\o L1688)</t>
  </si>
  <si>
    <t>Lupus (clouds 1–4)</t>
  </si>
  <si>
    <t>mine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</si>
  <si>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</si>
  <si>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</si>
  <si>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</si>
  <si>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</si>
  <si>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</si>
  <si>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</si>
  <si>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</si>
  <si>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13</t>
  </si>
  <si>
    <t>Lup 706 is a disc-bearing star in WISE</t>
  </si>
  <si>
    <t>This does not include Lup 706</t>
  </si>
  <si>
    <t>The five BD discs in Sanchis don't have CO fluxes. Only three are Lupus members!</t>
  </si>
  <si>
    <t>Remove &lt;5sigma detections</t>
  </si>
  <si>
    <t>UpperSco Polnitzky (SpTs)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</si>
</sst>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ahoma"/>
      <family val="2"/>
    </font>
    <font>
      <i/>
      <sz val="18"/>
      <color theme="1"/>
      <name val="Tahoma"/>
      <family val="2"/>
    </font>
    <font>
      <b/>
      <sz val="16"/>
      <color rgb="FFFF0000"/>
      <name val="Calibri (Body)"/>
    </font>
    <font>
      <sz val="18"/>
      <color rgb="FF000000"/>
      <name val="Calibri"/>
      <family val="2"/>
      <scheme val="minor"/>
    </font>
    <font>
      <b/>
      <sz val="18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/>
    <xf numFmtId="0" fontId="5" fillId="0" borderId="0" xfId="0" applyFont="1"/>
    <xf numFmtId="0" fontId="1" fillId="0" borderId="0" xfId="0" quotePrefix="1" applyFont="1"/>
    <xf numFmtId="0" fontId="2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D8AB-1B6C-5E44-9D66-BB02E54A4543}">
  <dimension ref="A1:O36"/>
  <sheetViews>
    <sheetView tabSelected="1" workbookViewId="0"/>
  </sheetViews>
  <sheetFormatPr baseColWidth="10" defaultRowHeight="24" x14ac:dyDescent="0.3"/>
  <cols>
    <col min="1" max="1" width="32.83203125" style="1" customWidth="1"/>
    <col min="2" max="15" width="13.83203125" style="1" customWidth="1"/>
    <col min="16" max="16384" width="10.83203125" style="1"/>
  </cols>
  <sheetData>
    <row r="1" spans="1:15" x14ac:dyDescent="0.3">
      <c r="A1" s="11" t="s">
        <v>14</v>
      </c>
    </row>
    <row r="2" spans="1:15" x14ac:dyDescent="0.3">
      <c r="A2" s="2"/>
      <c r="B2" s="2"/>
      <c r="C2" s="2"/>
      <c r="D2" s="2"/>
      <c r="E2" s="2"/>
      <c r="F2" s="2" t="s">
        <v>11</v>
      </c>
      <c r="G2" s="2"/>
      <c r="H2" s="2" t="s">
        <v>12</v>
      </c>
      <c r="I2" s="2"/>
      <c r="J2" s="2"/>
      <c r="K2" s="2"/>
      <c r="L2" s="2" t="s">
        <v>13</v>
      </c>
      <c r="M2" s="2"/>
      <c r="N2" s="2"/>
    </row>
    <row r="3" spans="1:15" x14ac:dyDescent="0.3">
      <c r="A3" s="2"/>
      <c r="B3" s="3" t="s">
        <v>1</v>
      </c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1</v>
      </c>
      <c r="I3" s="3" t="s">
        <v>0</v>
      </c>
      <c r="J3" s="3" t="s">
        <v>2</v>
      </c>
      <c r="K3" s="3" t="s">
        <v>3</v>
      </c>
      <c r="L3" s="3" t="s">
        <v>1</v>
      </c>
      <c r="M3" s="3" t="s">
        <v>0</v>
      </c>
      <c r="N3" s="3" t="s">
        <v>2</v>
      </c>
      <c r="O3" s="3" t="s">
        <v>3</v>
      </c>
    </row>
    <row r="4" spans="1:15" x14ac:dyDescent="0.3">
      <c r="A4" s="5" t="s">
        <v>9</v>
      </c>
      <c r="B4" s="5">
        <v>3103</v>
      </c>
      <c r="C4" s="5">
        <v>3103</v>
      </c>
      <c r="D4" s="5">
        <v>1349</v>
      </c>
      <c r="E4" s="5">
        <v>1349</v>
      </c>
      <c r="F4" s="5">
        <v>196</v>
      </c>
      <c r="G4" s="5">
        <v>85</v>
      </c>
      <c r="H4" s="5">
        <v>533</v>
      </c>
      <c r="I4" s="5">
        <v>533</v>
      </c>
      <c r="J4" s="5">
        <v>372</v>
      </c>
      <c r="K4" s="5">
        <v>372</v>
      </c>
      <c r="L4" s="5">
        <v>1077</v>
      </c>
      <c r="M4" s="5">
        <v>1077</v>
      </c>
      <c r="N4" s="5">
        <v>750</v>
      </c>
    </row>
    <row r="5" spans="1:15" x14ac:dyDescent="0.3">
      <c r="A5" s="5" t="s">
        <v>10</v>
      </c>
      <c r="B5" s="5">
        <v>2954</v>
      </c>
      <c r="C5" s="5">
        <v>2941</v>
      </c>
      <c r="D5" s="5">
        <v>1318</v>
      </c>
      <c r="E5" s="5">
        <v>1313</v>
      </c>
      <c r="F5" s="5">
        <v>192</v>
      </c>
      <c r="G5" s="5">
        <v>82</v>
      </c>
      <c r="H5" s="5">
        <v>527</v>
      </c>
      <c r="I5" s="5">
        <v>526</v>
      </c>
      <c r="J5" s="5">
        <v>367</v>
      </c>
      <c r="K5" s="5">
        <v>366</v>
      </c>
      <c r="L5" s="5">
        <v>1052</v>
      </c>
      <c r="M5" s="5">
        <v>1048</v>
      </c>
      <c r="N5" s="5">
        <v>731</v>
      </c>
    </row>
    <row r="6" spans="1:15" x14ac:dyDescent="0.3">
      <c r="A6" s="5" t="s">
        <v>6</v>
      </c>
      <c r="B6" s="5">
        <v>547</v>
      </c>
      <c r="C6" s="5">
        <v>534</v>
      </c>
      <c r="D6" s="5">
        <v>257</v>
      </c>
      <c r="E6" s="5">
        <v>252</v>
      </c>
      <c r="F6" s="5">
        <v>55</v>
      </c>
      <c r="G6" s="5">
        <v>12</v>
      </c>
      <c r="H6" s="5">
        <v>117</v>
      </c>
      <c r="I6" s="5">
        <v>116</v>
      </c>
      <c r="J6" s="5">
        <v>58</v>
      </c>
      <c r="K6" s="5">
        <v>57</v>
      </c>
      <c r="L6" s="5">
        <v>277</v>
      </c>
      <c r="M6" s="5">
        <v>273</v>
      </c>
      <c r="N6" s="5">
        <v>160</v>
      </c>
    </row>
    <row r="7" spans="1:15" x14ac:dyDescent="0.3">
      <c r="A7" s="5" t="s">
        <v>7</v>
      </c>
      <c r="B7" s="5">
        <v>164</v>
      </c>
      <c r="C7" s="5">
        <v>164</v>
      </c>
      <c r="D7" s="5">
        <v>140</v>
      </c>
      <c r="E7" s="5">
        <v>140</v>
      </c>
      <c r="F7" s="5">
        <v>13</v>
      </c>
      <c r="G7" s="5">
        <v>11</v>
      </c>
      <c r="H7" s="5">
        <v>50</v>
      </c>
      <c r="I7" s="5">
        <v>50</v>
      </c>
      <c r="J7" s="5">
        <v>42</v>
      </c>
      <c r="K7" s="5">
        <v>42</v>
      </c>
      <c r="L7" s="5">
        <v>100</v>
      </c>
      <c r="M7" s="5">
        <v>100</v>
      </c>
      <c r="N7" s="5">
        <v>87</v>
      </c>
    </row>
    <row r="8" spans="1:15" x14ac:dyDescent="0.3">
      <c r="A8" s="5" t="s">
        <v>8</v>
      </c>
      <c r="B8" s="5">
        <v>69</v>
      </c>
      <c r="C8" s="5">
        <v>69</v>
      </c>
      <c r="D8" s="5">
        <v>62</v>
      </c>
      <c r="E8" s="5">
        <v>62</v>
      </c>
      <c r="F8" s="5">
        <v>13</v>
      </c>
      <c r="G8" s="5">
        <v>11</v>
      </c>
      <c r="H8" s="5">
        <v>30</v>
      </c>
      <c r="I8" s="5">
        <v>30</v>
      </c>
      <c r="J8" s="5">
        <v>27</v>
      </c>
      <c r="K8" s="5">
        <v>27</v>
      </c>
      <c r="L8" s="5">
        <v>26</v>
      </c>
      <c r="M8" s="5">
        <v>26</v>
      </c>
      <c r="N8" s="5">
        <v>24</v>
      </c>
    </row>
    <row r="9" spans="1:15" x14ac:dyDescent="0.3">
      <c r="A9" s="5" t="s">
        <v>15</v>
      </c>
      <c r="B9" s="6">
        <f>B7/B6</f>
        <v>0.29981718464351004</v>
      </c>
      <c r="C9" s="6">
        <f t="shared" ref="C9:K9" si="0">C7/C6</f>
        <v>0.30711610486891383</v>
      </c>
      <c r="D9" s="6">
        <f t="shared" si="0"/>
        <v>0.54474708171206221</v>
      </c>
      <c r="E9" s="6">
        <f t="shared" si="0"/>
        <v>0.55555555555555558</v>
      </c>
      <c r="F9" s="6">
        <f t="shared" si="0"/>
        <v>0.23636363636363636</v>
      </c>
      <c r="G9" s="6">
        <f t="shared" si="0"/>
        <v>0.91666666666666663</v>
      </c>
      <c r="H9" s="6">
        <f t="shared" si="0"/>
        <v>0.42735042735042733</v>
      </c>
      <c r="I9" s="6">
        <f t="shared" si="0"/>
        <v>0.43103448275862066</v>
      </c>
      <c r="J9" s="6">
        <f t="shared" si="0"/>
        <v>0.72413793103448276</v>
      </c>
      <c r="K9" s="6">
        <f t="shared" si="0"/>
        <v>0.73684210526315785</v>
      </c>
      <c r="L9" s="6">
        <f>L7/L6</f>
        <v>0.36101083032490977</v>
      </c>
      <c r="M9" s="6">
        <f t="shared" ref="M9:N9" si="1">M7/M6</f>
        <v>0.36630036630036628</v>
      </c>
      <c r="N9" s="6">
        <f t="shared" si="1"/>
        <v>0.54374999999999996</v>
      </c>
    </row>
    <row r="10" spans="1:15" x14ac:dyDescent="0.3">
      <c r="A10" s="5" t="s">
        <v>16</v>
      </c>
      <c r="B10" s="6">
        <f>B8/B6</f>
        <v>0.12614259597806216</v>
      </c>
      <c r="C10" s="6">
        <f t="shared" ref="C10:K10" si="2">C8/C6</f>
        <v>0.12921348314606743</v>
      </c>
      <c r="D10" s="6">
        <f t="shared" si="2"/>
        <v>0.24124513618677043</v>
      </c>
      <c r="E10" s="6">
        <f t="shared" si="2"/>
        <v>0.24603174603174602</v>
      </c>
      <c r="F10" s="6">
        <f t="shared" si="2"/>
        <v>0.23636363636363636</v>
      </c>
      <c r="G10" s="6">
        <f t="shared" si="2"/>
        <v>0.91666666666666663</v>
      </c>
      <c r="H10" s="6">
        <f t="shared" si="2"/>
        <v>0.25641025641025639</v>
      </c>
      <c r="I10" s="6">
        <f t="shared" si="2"/>
        <v>0.25862068965517243</v>
      </c>
      <c r="J10" s="6">
        <f t="shared" si="2"/>
        <v>0.46551724137931033</v>
      </c>
      <c r="K10" s="6">
        <f t="shared" si="2"/>
        <v>0.47368421052631576</v>
      </c>
      <c r="L10" s="6">
        <f>L8/L6</f>
        <v>9.3862815884476536E-2</v>
      </c>
      <c r="M10" s="6">
        <f t="shared" ref="M10:N10" si="3">M8/M6</f>
        <v>9.5238095238095233E-2</v>
      </c>
      <c r="N10" s="6">
        <f t="shared" si="3"/>
        <v>0.15</v>
      </c>
    </row>
    <row r="12" spans="1:15" x14ac:dyDescent="0.3">
      <c r="A12" s="11" t="s">
        <v>17</v>
      </c>
    </row>
    <row r="13" spans="1:15" x14ac:dyDescent="0.3">
      <c r="A13" s="2"/>
      <c r="B13" s="2"/>
      <c r="C13" s="2"/>
      <c r="D13" s="2"/>
      <c r="E13" s="2"/>
      <c r="F13" s="2" t="s">
        <v>11</v>
      </c>
      <c r="G13" s="2"/>
      <c r="H13" s="2" t="s">
        <v>12</v>
      </c>
      <c r="I13" s="2"/>
      <c r="J13" s="2"/>
      <c r="K13" s="2"/>
      <c r="L13" s="2" t="s">
        <v>13</v>
      </c>
      <c r="M13" s="2"/>
      <c r="N13" s="2"/>
    </row>
    <row r="14" spans="1:15" x14ac:dyDescent="0.3">
      <c r="A14" s="2"/>
      <c r="B14" s="3" t="s">
        <v>1</v>
      </c>
      <c r="C14" s="3" t="s">
        <v>0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1</v>
      </c>
      <c r="I14" s="3" t="s">
        <v>0</v>
      </c>
      <c r="J14" s="3" t="s">
        <v>2</v>
      </c>
      <c r="K14" s="3" t="s">
        <v>3</v>
      </c>
      <c r="L14" s="3" t="s">
        <v>1</v>
      </c>
      <c r="M14" s="3" t="s">
        <v>0</v>
      </c>
      <c r="N14" s="3" t="s">
        <v>2</v>
      </c>
      <c r="O14" s="3" t="s">
        <v>3</v>
      </c>
    </row>
    <row r="15" spans="1:15" x14ac:dyDescent="0.3">
      <c r="A15" s="5" t="s">
        <v>9</v>
      </c>
      <c r="B15" s="5">
        <v>916</v>
      </c>
      <c r="C15" s="5">
        <v>916</v>
      </c>
      <c r="D15" s="5">
        <v>120</v>
      </c>
      <c r="E15" s="5">
        <v>120</v>
      </c>
      <c r="F15" s="5">
        <v>56</v>
      </c>
      <c r="G15" s="5">
        <v>17</v>
      </c>
      <c r="H15" s="5">
        <v>93</v>
      </c>
      <c r="I15" s="5"/>
      <c r="J15" s="5">
        <v>27</v>
      </c>
      <c r="K15" s="5"/>
      <c r="L15" s="5">
        <v>296</v>
      </c>
      <c r="M15" s="5">
        <v>296</v>
      </c>
      <c r="N15" s="5">
        <v>68</v>
      </c>
      <c r="O15" s="5">
        <v>68</v>
      </c>
    </row>
    <row r="16" spans="1:15" x14ac:dyDescent="0.3">
      <c r="A16" s="5" t="s">
        <v>10</v>
      </c>
      <c r="B16" s="5">
        <v>860</v>
      </c>
      <c r="C16" s="5">
        <v>855</v>
      </c>
      <c r="D16" s="5">
        <v>119</v>
      </c>
      <c r="E16" s="5">
        <v>116</v>
      </c>
      <c r="F16" s="5">
        <v>56</v>
      </c>
      <c r="G16" s="5">
        <v>17</v>
      </c>
      <c r="H16" s="5">
        <v>93</v>
      </c>
      <c r="I16" s="5"/>
      <c r="J16" s="5">
        <v>27</v>
      </c>
      <c r="K16" s="5"/>
      <c r="L16" s="5">
        <v>286</v>
      </c>
      <c r="M16" s="5">
        <v>284</v>
      </c>
      <c r="N16" s="5">
        <v>67</v>
      </c>
      <c r="O16" s="5">
        <v>65</v>
      </c>
    </row>
    <row r="17" spans="1:15" x14ac:dyDescent="0.3">
      <c r="A17" s="5" t="s">
        <v>6</v>
      </c>
      <c r="B17" s="5">
        <v>185</v>
      </c>
      <c r="C17" s="5">
        <v>180</v>
      </c>
      <c r="D17" s="5">
        <v>76</v>
      </c>
      <c r="E17" s="5">
        <v>73</v>
      </c>
      <c r="F17" s="5">
        <v>20</v>
      </c>
      <c r="G17" s="5">
        <v>13</v>
      </c>
      <c r="H17" s="5">
        <v>31</v>
      </c>
      <c r="I17" s="5"/>
      <c r="J17" s="5">
        <v>20</v>
      </c>
      <c r="K17" s="5"/>
      <c r="L17" s="5">
        <v>95</v>
      </c>
      <c r="M17" s="5">
        <v>93</v>
      </c>
      <c r="N17" s="5">
        <v>38</v>
      </c>
      <c r="O17" s="5">
        <v>36</v>
      </c>
    </row>
    <row r="18" spans="1:15" x14ac:dyDescent="0.3">
      <c r="A18" s="5" t="s">
        <v>7</v>
      </c>
      <c r="B18" s="5">
        <v>61</v>
      </c>
      <c r="C18" s="5">
        <v>61</v>
      </c>
      <c r="D18" s="5">
        <v>57</v>
      </c>
      <c r="E18" s="5">
        <v>57</v>
      </c>
      <c r="F18" s="5">
        <v>13</v>
      </c>
      <c r="G18" s="5">
        <v>12</v>
      </c>
      <c r="H18" s="5">
        <v>17</v>
      </c>
      <c r="I18" s="5"/>
      <c r="J18" s="5">
        <v>14</v>
      </c>
      <c r="K18" s="5"/>
      <c r="L18" s="5">
        <v>29</v>
      </c>
      <c r="M18" s="5">
        <v>29</v>
      </c>
      <c r="N18" s="5">
        <v>29</v>
      </c>
      <c r="O18" s="5">
        <v>29</v>
      </c>
    </row>
    <row r="19" spans="1:15" x14ac:dyDescent="0.3">
      <c r="A19" s="5" t="s">
        <v>8</v>
      </c>
      <c r="B19" s="5">
        <v>43</v>
      </c>
      <c r="C19" s="5">
        <v>43</v>
      </c>
      <c r="D19" s="5">
        <v>39</v>
      </c>
      <c r="E19" s="5">
        <v>39</v>
      </c>
      <c r="F19" s="5">
        <v>11</v>
      </c>
      <c r="G19" s="5">
        <v>10</v>
      </c>
      <c r="H19" s="5">
        <v>13</v>
      </c>
      <c r="I19" s="5"/>
      <c r="J19" s="5">
        <v>10</v>
      </c>
      <c r="K19" s="5"/>
      <c r="L19" s="5">
        <v>18</v>
      </c>
      <c r="M19" s="5">
        <v>18</v>
      </c>
      <c r="N19" s="5">
        <v>18</v>
      </c>
      <c r="O19" s="5">
        <v>18</v>
      </c>
    </row>
    <row r="20" spans="1:15" x14ac:dyDescent="0.3">
      <c r="A20" s="5" t="s">
        <v>15</v>
      </c>
      <c r="B20" s="6">
        <f>B18/B17</f>
        <v>0.32972972972972975</v>
      </c>
      <c r="C20" s="6">
        <f t="shared" ref="C20:J20" si="4">C18/C17</f>
        <v>0.33888888888888891</v>
      </c>
      <c r="D20" s="6">
        <f t="shared" si="4"/>
        <v>0.75</v>
      </c>
      <c r="E20" s="6">
        <f t="shared" si="4"/>
        <v>0.78082191780821919</v>
      </c>
      <c r="F20" s="6">
        <f t="shared" si="4"/>
        <v>0.65</v>
      </c>
      <c r="G20" s="6">
        <f t="shared" si="4"/>
        <v>0.92307692307692313</v>
      </c>
      <c r="H20" s="6">
        <f t="shared" si="4"/>
        <v>0.54838709677419351</v>
      </c>
      <c r="I20" s="6"/>
      <c r="J20" s="6">
        <f t="shared" si="4"/>
        <v>0.7</v>
      </c>
      <c r="K20" s="6"/>
      <c r="L20" s="6">
        <f>L18/L17</f>
        <v>0.30526315789473685</v>
      </c>
      <c r="M20" s="6">
        <f>M18/M17</f>
        <v>0.31182795698924731</v>
      </c>
      <c r="N20" s="6">
        <f t="shared" ref="N20:O20" si="5">N18/N17</f>
        <v>0.76315789473684215</v>
      </c>
      <c r="O20" s="6">
        <f t="shared" si="5"/>
        <v>0.80555555555555558</v>
      </c>
    </row>
    <row r="21" spans="1:15" x14ac:dyDescent="0.3">
      <c r="A21" s="5" t="s">
        <v>16</v>
      </c>
      <c r="B21" s="6">
        <f>B19/B17</f>
        <v>0.23243243243243245</v>
      </c>
      <c r="C21" s="6">
        <f t="shared" ref="C21:J21" si="6">C19/C17</f>
        <v>0.2388888888888889</v>
      </c>
      <c r="D21" s="6">
        <f t="shared" si="6"/>
        <v>0.51315789473684215</v>
      </c>
      <c r="E21" s="6">
        <f t="shared" si="6"/>
        <v>0.53424657534246578</v>
      </c>
      <c r="F21" s="6">
        <f t="shared" si="6"/>
        <v>0.55000000000000004</v>
      </c>
      <c r="G21" s="6">
        <f t="shared" si="6"/>
        <v>0.76923076923076927</v>
      </c>
      <c r="H21" s="6">
        <f t="shared" si="6"/>
        <v>0.41935483870967744</v>
      </c>
      <c r="I21" s="6"/>
      <c r="J21" s="6">
        <f t="shared" si="6"/>
        <v>0.5</v>
      </c>
      <c r="K21" s="6"/>
      <c r="L21" s="6">
        <f>L19/L17</f>
        <v>0.18947368421052632</v>
      </c>
      <c r="M21" s="6">
        <f>M19/M17</f>
        <v>0.19354838709677419</v>
      </c>
      <c r="N21" s="6">
        <f t="shared" ref="N21:O21" si="7">N19/N17</f>
        <v>0.47368421052631576</v>
      </c>
      <c r="O21" s="6">
        <f t="shared" si="7"/>
        <v>0.5</v>
      </c>
    </row>
    <row r="22" spans="1:15" x14ac:dyDescent="0.3">
      <c r="A22" s="10" t="s">
        <v>35</v>
      </c>
      <c r="D22" s="5">
        <v>76</v>
      </c>
      <c r="E22" s="5">
        <v>73</v>
      </c>
    </row>
    <row r="23" spans="1:15" x14ac:dyDescent="0.3">
      <c r="A23" s="10" t="s">
        <v>36</v>
      </c>
      <c r="D23" s="5">
        <v>55</v>
      </c>
      <c r="E23" s="5">
        <v>55</v>
      </c>
    </row>
    <row r="24" spans="1:15" x14ac:dyDescent="0.3">
      <c r="D24" s="5">
        <v>39</v>
      </c>
      <c r="E24" s="5">
        <v>39</v>
      </c>
    </row>
    <row r="25" spans="1:15" x14ac:dyDescent="0.3">
      <c r="D25" s="6">
        <f>D23/D22</f>
        <v>0.72368421052631582</v>
      </c>
      <c r="E25" s="6">
        <f>E23/E22</f>
        <v>0.75342465753424659</v>
      </c>
    </row>
    <row r="26" spans="1:15" x14ac:dyDescent="0.3">
      <c r="D26" s="6">
        <f>D24/D22</f>
        <v>0.51315789473684215</v>
      </c>
      <c r="E26" s="6">
        <f>E24/E22</f>
        <v>0.53424657534246578</v>
      </c>
    </row>
    <row r="27" spans="1:15" x14ac:dyDescent="0.3">
      <c r="A27" s="2" t="s">
        <v>34</v>
      </c>
      <c r="D27" s="5">
        <v>77</v>
      </c>
      <c r="E27" s="5">
        <v>74</v>
      </c>
    </row>
    <row r="28" spans="1:15" x14ac:dyDescent="0.3">
      <c r="D28" s="5">
        <v>55</v>
      </c>
      <c r="E28" s="5">
        <v>55</v>
      </c>
    </row>
    <row r="29" spans="1:15" x14ac:dyDescent="0.3">
      <c r="D29" s="5">
        <v>40</v>
      </c>
      <c r="E29" s="5">
        <v>40</v>
      </c>
    </row>
    <row r="30" spans="1:15" x14ac:dyDescent="0.3">
      <c r="D30" s="6">
        <f>D28/D27</f>
        <v>0.7142857142857143</v>
      </c>
      <c r="E30" s="6">
        <f>E28/E27</f>
        <v>0.7432432432432432</v>
      </c>
    </row>
    <row r="31" spans="1:15" x14ac:dyDescent="0.3">
      <c r="D31" s="6">
        <f>D29/D27</f>
        <v>0.51948051948051943</v>
      </c>
      <c r="E31" s="6">
        <f>E29/E27</f>
        <v>0.54054054054054057</v>
      </c>
    </row>
    <row r="32" spans="1:15" x14ac:dyDescent="0.3">
      <c r="D32" s="5">
        <v>76</v>
      </c>
      <c r="E32" s="5">
        <v>73</v>
      </c>
    </row>
    <row r="33" spans="1:5" x14ac:dyDescent="0.3">
      <c r="D33" s="5">
        <v>55</v>
      </c>
      <c r="E33" s="5">
        <v>55</v>
      </c>
    </row>
    <row r="34" spans="1:5" x14ac:dyDescent="0.3">
      <c r="A34" s="2" t="s">
        <v>37</v>
      </c>
      <c r="D34" s="5">
        <v>28</v>
      </c>
      <c r="E34" s="5">
        <v>28</v>
      </c>
    </row>
    <row r="35" spans="1:5" x14ac:dyDescent="0.3">
      <c r="D35" s="6">
        <f t="shared" ref="D35:E35" si="8">D33/D32</f>
        <v>0.72368421052631582</v>
      </c>
      <c r="E35" s="6">
        <f t="shared" si="8"/>
        <v>0.75342465753424659</v>
      </c>
    </row>
    <row r="36" spans="1:5" x14ac:dyDescent="0.3">
      <c r="D36" s="6">
        <f t="shared" ref="D36:E36" si="9">D34/D32</f>
        <v>0.36842105263157893</v>
      </c>
      <c r="E36" s="6">
        <f t="shared" si="9"/>
        <v>0.38356164383561642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504B-BC7B-924E-A86C-511D0103391B}">
  <dimension ref="A1:Q10"/>
  <sheetViews>
    <sheetView workbookViewId="0">
      <selection activeCell="A11" sqref="A11"/>
    </sheetView>
  </sheetViews>
  <sheetFormatPr baseColWidth="10" defaultRowHeight="16" x14ac:dyDescent="0.2"/>
  <cols>
    <col min="1" max="1" width="32.83203125" customWidth="1"/>
  </cols>
  <sheetData>
    <row r="1" spans="1:17" ht="21" x14ac:dyDescent="0.25">
      <c r="A1" s="4" t="s">
        <v>18</v>
      </c>
    </row>
    <row r="2" spans="1:17" ht="24" x14ac:dyDescent="0.3">
      <c r="B2" s="1" t="s">
        <v>19</v>
      </c>
      <c r="C2" s="1"/>
      <c r="D2" s="1"/>
      <c r="G2" s="1" t="s">
        <v>23</v>
      </c>
      <c r="H2" s="1"/>
      <c r="I2" s="1"/>
      <c r="L2" s="1" t="s">
        <v>24</v>
      </c>
      <c r="M2" s="1"/>
      <c r="N2" s="1"/>
    </row>
    <row r="3" spans="1:17" ht="24" x14ac:dyDescent="0.3">
      <c r="B3" s="1" t="s">
        <v>20</v>
      </c>
      <c r="C3" s="1" t="s">
        <v>21</v>
      </c>
      <c r="D3" s="1" t="s">
        <v>22</v>
      </c>
      <c r="E3" s="1" t="s">
        <v>25</v>
      </c>
      <c r="G3" s="1" t="s">
        <v>20</v>
      </c>
      <c r="H3" s="1" t="s">
        <v>21</v>
      </c>
      <c r="I3" s="1" t="s">
        <v>22</v>
      </c>
      <c r="J3" s="1" t="s">
        <v>25</v>
      </c>
      <c r="L3" s="1" t="s">
        <v>20</v>
      </c>
      <c r="M3" s="1" t="s">
        <v>21</v>
      </c>
      <c r="N3" s="1" t="s">
        <v>22</v>
      </c>
      <c r="O3" s="1" t="s">
        <v>25</v>
      </c>
    </row>
    <row r="4" spans="1:17" ht="24" x14ac:dyDescent="0.3">
      <c r="A4" s="5" t="s">
        <v>9</v>
      </c>
      <c r="B4" s="1">
        <v>3595</v>
      </c>
      <c r="C4" s="1">
        <v>3595</v>
      </c>
      <c r="D4" s="1">
        <v>3595</v>
      </c>
      <c r="E4" s="1">
        <v>2861</v>
      </c>
      <c r="F4" s="1">
        <v>2861</v>
      </c>
      <c r="G4" s="1">
        <v>3061</v>
      </c>
      <c r="H4" s="1">
        <v>3061</v>
      </c>
      <c r="I4" s="1">
        <v>3061</v>
      </c>
      <c r="J4" s="1">
        <v>2422</v>
      </c>
      <c r="K4" s="1">
        <v>2422</v>
      </c>
      <c r="L4" s="1">
        <v>226</v>
      </c>
      <c r="M4" s="1">
        <v>226</v>
      </c>
      <c r="N4" s="1">
        <v>226</v>
      </c>
      <c r="O4" s="1">
        <v>177</v>
      </c>
      <c r="P4" s="1">
        <v>177</v>
      </c>
    </row>
    <row r="5" spans="1:17" ht="24" x14ac:dyDescent="0.3">
      <c r="A5" s="5" t="s">
        <v>10</v>
      </c>
      <c r="B5" s="1">
        <v>2973</v>
      </c>
      <c r="C5" s="1">
        <v>2973</v>
      </c>
      <c r="D5" s="1">
        <v>2444</v>
      </c>
      <c r="E5" s="1">
        <v>2780</v>
      </c>
      <c r="F5" s="1">
        <v>2772</v>
      </c>
      <c r="G5" s="1">
        <v>2531</v>
      </c>
      <c r="H5" s="1">
        <v>2531</v>
      </c>
      <c r="I5" s="1">
        <v>2074</v>
      </c>
      <c r="J5" s="1">
        <v>2350</v>
      </c>
      <c r="K5" s="1">
        <v>2346</v>
      </c>
      <c r="L5" s="1">
        <v>192</v>
      </c>
      <c r="M5" s="1">
        <v>192</v>
      </c>
      <c r="N5" s="1">
        <v>151</v>
      </c>
      <c r="O5" s="1">
        <v>172</v>
      </c>
      <c r="P5" s="1">
        <v>168</v>
      </c>
      <c r="Q5" s="9"/>
    </row>
    <row r="6" spans="1:17" ht="24" x14ac:dyDescent="0.3">
      <c r="A6" s="5" t="s">
        <v>6</v>
      </c>
      <c r="B6" s="1">
        <v>518</v>
      </c>
      <c r="C6" s="1">
        <v>541</v>
      </c>
      <c r="D6" s="1">
        <v>438</v>
      </c>
      <c r="E6" s="1">
        <v>505</v>
      </c>
      <c r="F6" s="1">
        <v>497</v>
      </c>
      <c r="G6" s="1">
        <v>354</v>
      </c>
      <c r="H6" s="1">
        <v>358</v>
      </c>
      <c r="I6" s="1">
        <v>298</v>
      </c>
      <c r="J6" s="1">
        <v>337</v>
      </c>
      <c r="K6" s="1">
        <v>333</v>
      </c>
      <c r="L6" s="1">
        <v>84</v>
      </c>
      <c r="M6" s="1">
        <v>77</v>
      </c>
      <c r="N6" s="1">
        <v>70</v>
      </c>
      <c r="O6" s="1">
        <v>88</v>
      </c>
      <c r="P6" s="1">
        <v>84</v>
      </c>
    </row>
    <row r="7" spans="1:17" ht="24" x14ac:dyDescent="0.3">
      <c r="A7" s="5" t="s">
        <v>7</v>
      </c>
      <c r="B7" s="1">
        <v>172</v>
      </c>
      <c r="C7" s="1">
        <v>161</v>
      </c>
      <c r="D7" s="1">
        <v>167</v>
      </c>
      <c r="E7" s="1">
        <v>185</v>
      </c>
      <c r="F7" s="1">
        <v>185</v>
      </c>
      <c r="G7" s="1">
        <v>154</v>
      </c>
      <c r="H7" s="1">
        <v>145</v>
      </c>
      <c r="I7" s="1">
        <v>151</v>
      </c>
      <c r="J7" s="1">
        <v>167</v>
      </c>
      <c r="K7" s="1">
        <v>167</v>
      </c>
      <c r="L7" s="1">
        <v>50</v>
      </c>
      <c r="M7" s="1">
        <v>45</v>
      </c>
      <c r="N7" s="1">
        <v>45</v>
      </c>
      <c r="O7" s="1">
        <v>52</v>
      </c>
      <c r="P7" s="1">
        <v>52</v>
      </c>
    </row>
    <row r="8" spans="1:17" ht="24" x14ac:dyDescent="0.3">
      <c r="A8" s="5" t="s">
        <v>8</v>
      </c>
      <c r="B8" s="1">
        <v>77</v>
      </c>
      <c r="C8" s="1">
        <v>74</v>
      </c>
      <c r="D8" s="1">
        <v>69</v>
      </c>
      <c r="E8" s="1">
        <v>75</v>
      </c>
      <c r="F8" s="1">
        <v>75</v>
      </c>
      <c r="G8" s="1">
        <v>71</v>
      </c>
      <c r="H8" s="1">
        <v>68</v>
      </c>
      <c r="I8" s="1">
        <v>64</v>
      </c>
      <c r="J8" s="1">
        <v>68</v>
      </c>
      <c r="K8" s="1">
        <v>68</v>
      </c>
      <c r="L8" s="1">
        <v>38</v>
      </c>
      <c r="M8" s="1">
        <v>34</v>
      </c>
      <c r="N8" s="1">
        <v>33</v>
      </c>
      <c r="O8" s="1">
        <v>36</v>
      </c>
      <c r="P8" s="1">
        <v>36</v>
      </c>
    </row>
    <row r="9" spans="1:17" ht="24" x14ac:dyDescent="0.3">
      <c r="A9" s="5" t="s">
        <v>15</v>
      </c>
      <c r="B9" s="7">
        <f>B7/B6</f>
        <v>0.33204633204633205</v>
      </c>
      <c r="C9" s="7">
        <f t="shared" ref="C9:D9" si="0">C7/C6</f>
        <v>0.29759704251386321</v>
      </c>
      <c r="D9" s="7">
        <f t="shared" si="0"/>
        <v>0.38127853881278539</v>
      </c>
      <c r="E9" s="7">
        <f t="shared" ref="E9:F9" si="1">E7/E6</f>
        <v>0.36633663366336633</v>
      </c>
      <c r="F9" s="7">
        <f t="shared" si="1"/>
        <v>0.37223340040241448</v>
      </c>
      <c r="G9" s="7">
        <f>G7/G6</f>
        <v>0.43502824858757061</v>
      </c>
      <c r="H9" s="7">
        <f>H7/H6</f>
        <v>0.40502793296089384</v>
      </c>
      <c r="I9" s="7">
        <f>I7/I6</f>
        <v>0.50671140939597314</v>
      </c>
      <c r="J9" s="7">
        <f t="shared" ref="J9:K9" si="2">J7/J6</f>
        <v>0.49554896142433236</v>
      </c>
      <c r="K9" s="7">
        <f t="shared" si="2"/>
        <v>0.50150150150150152</v>
      </c>
      <c r="L9" s="7">
        <f>L7/L6</f>
        <v>0.59523809523809523</v>
      </c>
      <c r="M9" s="7">
        <f>M7/M6</f>
        <v>0.58441558441558439</v>
      </c>
      <c r="N9" s="7">
        <f>N7/N6</f>
        <v>0.6428571428571429</v>
      </c>
      <c r="O9" s="7">
        <f t="shared" ref="O9:P9" si="3">O7/O6</f>
        <v>0.59090909090909094</v>
      </c>
      <c r="P9" s="7">
        <f t="shared" si="3"/>
        <v>0.61904761904761907</v>
      </c>
    </row>
    <row r="10" spans="1:17" ht="24" x14ac:dyDescent="0.3">
      <c r="A10" s="5" t="s">
        <v>16</v>
      </c>
      <c r="B10" s="7">
        <f>B8/B6</f>
        <v>0.14864864864864866</v>
      </c>
      <c r="C10" s="7">
        <f t="shared" ref="C10:D10" si="4">C8/C6</f>
        <v>0.1367837338262477</v>
      </c>
      <c r="D10" s="7">
        <f t="shared" si="4"/>
        <v>0.15753424657534246</v>
      </c>
      <c r="E10" s="7">
        <f t="shared" ref="E10:F10" si="5">E8/E6</f>
        <v>0.14851485148514851</v>
      </c>
      <c r="F10" s="7">
        <f t="shared" si="5"/>
        <v>0.15090543259557343</v>
      </c>
      <c r="G10" s="7">
        <f>G8/G6</f>
        <v>0.20056497175141244</v>
      </c>
      <c r="H10" s="7">
        <f>H8/H6</f>
        <v>0.18994413407821228</v>
      </c>
      <c r="I10" s="7">
        <f>I8/I6</f>
        <v>0.21476510067114093</v>
      </c>
      <c r="J10" s="7">
        <f t="shared" ref="J10:K10" si="6">J8/J6</f>
        <v>0.20178041543026706</v>
      </c>
      <c r="K10" s="7">
        <f t="shared" si="6"/>
        <v>0.20420420420420421</v>
      </c>
      <c r="L10" s="7">
        <f>L8/L6</f>
        <v>0.45238095238095238</v>
      </c>
      <c r="M10" s="7">
        <f>M8/M6</f>
        <v>0.44155844155844154</v>
      </c>
      <c r="N10" s="7">
        <f>N8/N6</f>
        <v>0.47142857142857142</v>
      </c>
      <c r="O10" s="7">
        <f t="shared" ref="O10:P10" si="7">O8/O6</f>
        <v>0.40909090909090912</v>
      </c>
      <c r="P10" s="7">
        <f t="shared" si="7"/>
        <v>0.42857142857142855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ADF2-5B59-D946-90FE-72E2266E87F2}">
  <dimension ref="A1:AW91"/>
  <sheetViews>
    <sheetView zoomScale="101" workbookViewId="0"/>
  </sheetViews>
  <sheetFormatPr baseColWidth="10" defaultRowHeight="24" x14ac:dyDescent="0.3"/>
  <cols>
    <col min="1" max="1" width="32.83203125" customWidth="1"/>
    <col min="2" max="10" width="13.83203125" customWidth="1"/>
    <col min="11" max="11" width="13.83203125" style="1" customWidth="1"/>
    <col min="12" max="41" width="13.83203125" customWidth="1"/>
  </cols>
  <sheetData>
    <row r="1" spans="1:49" x14ac:dyDescent="0.3">
      <c r="A1" s="4" t="s">
        <v>18</v>
      </c>
    </row>
    <row r="2" spans="1:49" x14ac:dyDescent="0.3">
      <c r="A2" s="1"/>
      <c r="B2" s="1" t="s">
        <v>26</v>
      </c>
      <c r="C2" s="1"/>
      <c r="D2" s="1"/>
      <c r="E2" s="1"/>
      <c r="F2" s="1"/>
      <c r="G2" s="1" t="s">
        <v>27</v>
      </c>
      <c r="H2" s="1"/>
      <c r="I2" s="1"/>
      <c r="J2" s="1"/>
      <c r="L2" s="1" t="s">
        <v>28</v>
      </c>
      <c r="M2" s="1"/>
      <c r="N2" s="1"/>
      <c r="O2" s="1"/>
      <c r="P2" s="1"/>
      <c r="Q2" s="1" t="s">
        <v>29</v>
      </c>
      <c r="R2" s="1"/>
      <c r="S2" s="1"/>
      <c r="T2" s="1"/>
      <c r="U2" s="1"/>
      <c r="V2" s="8" t="s">
        <v>30</v>
      </c>
      <c r="W2" s="8"/>
      <c r="X2" s="8"/>
      <c r="Y2" s="8"/>
      <c r="Z2" s="1"/>
      <c r="AA2" s="8" t="s">
        <v>31</v>
      </c>
      <c r="AB2" s="8"/>
      <c r="AC2" s="8"/>
      <c r="AD2" s="8"/>
      <c r="AE2" s="1"/>
      <c r="AF2" s="8" t="s">
        <v>32</v>
      </c>
      <c r="AG2" s="8"/>
      <c r="AH2" s="8"/>
      <c r="AI2" s="8"/>
      <c r="AJ2" s="1"/>
      <c r="AK2" s="8" t="s">
        <v>33</v>
      </c>
      <c r="AL2" s="8"/>
      <c r="AM2" s="8"/>
      <c r="AN2" s="8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 t="s">
        <v>20</v>
      </c>
      <c r="C3" s="1" t="s">
        <v>21</v>
      </c>
      <c r="D3" s="1" t="s">
        <v>22</v>
      </c>
      <c r="E3" s="1" t="s">
        <v>25</v>
      </c>
      <c r="F3" s="1"/>
      <c r="G3" s="1" t="s">
        <v>20</v>
      </c>
      <c r="H3" s="1" t="s">
        <v>21</v>
      </c>
      <c r="I3" s="1" t="s">
        <v>22</v>
      </c>
      <c r="J3" s="1" t="s">
        <v>25</v>
      </c>
      <c r="L3" s="1" t="s">
        <v>20</v>
      </c>
      <c r="M3" s="1" t="s">
        <v>21</v>
      </c>
      <c r="N3" s="1" t="s">
        <v>22</v>
      </c>
      <c r="O3" s="1" t="s">
        <v>25</v>
      </c>
      <c r="P3" s="1"/>
      <c r="Q3" s="1" t="s">
        <v>20</v>
      </c>
      <c r="R3" s="1" t="s">
        <v>21</v>
      </c>
      <c r="S3" s="1" t="s">
        <v>22</v>
      </c>
      <c r="T3" s="1" t="s">
        <v>25</v>
      </c>
      <c r="U3" s="1"/>
      <c r="V3" s="8" t="s">
        <v>20</v>
      </c>
      <c r="W3" s="8" t="s">
        <v>21</v>
      </c>
      <c r="X3" s="8" t="s">
        <v>22</v>
      </c>
      <c r="Y3" s="8" t="s">
        <v>25</v>
      </c>
      <c r="Z3" s="1"/>
      <c r="AA3" s="8" t="s">
        <v>20</v>
      </c>
      <c r="AB3" s="8" t="s">
        <v>21</v>
      </c>
      <c r="AC3" s="8" t="s">
        <v>22</v>
      </c>
      <c r="AD3" s="8" t="s">
        <v>25</v>
      </c>
      <c r="AE3" s="1"/>
      <c r="AF3" s="8" t="s">
        <v>20</v>
      </c>
      <c r="AG3" s="8" t="s">
        <v>21</v>
      </c>
      <c r="AH3" s="8" t="s">
        <v>22</v>
      </c>
      <c r="AI3" s="8" t="s">
        <v>25</v>
      </c>
      <c r="AJ3" s="1"/>
      <c r="AK3" s="8" t="s">
        <v>20</v>
      </c>
      <c r="AL3" s="8" t="s">
        <v>21</v>
      </c>
      <c r="AM3" s="8" t="s">
        <v>22</v>
      </c>
      <c r="AN3" s="8" t="s">
        <v>25</v>
      </c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5" t="s">
        <v>9</v>
      </c>
      <c r="B4" s="1">
        <v>535</v>
      </c>
      <c r="C4" s="1">
        <v>535</v>
      </c>
      <c r="D4" s="1">
        <v>535</v>
      </c>
      <c r="E4" s="1">
        <v>439</v>
      </c>
      <c r="F4" s="1">
        <v>439</v>
      </c>
      <c r="G4" s="1">
        <v>160</v>
      </c>
      <c r="H4" s="1">
        <v>160</v>
      </c>
      <c r="I4" s="1">
        <v>160</v>
      </c>
      <c r="J4" s="1">
        <v>142</v>
      </c>
      <c r="L4" s="1">
        <v>691</v>
      </c>
      <c r="M4" s="1">
        <v>691</v>
      </c>
      <c r="N4" s="1">
        <v>691</v>
      </c>
      <c r="O4" s="1">
        <v>654</v>
      </c>
      <c r="P4" s="1">
        <v>654</v>
      </c>
      <c r="Q4" s="1">
        <v>285</v>
      </c>
      <c r="R4" s="1">
        <v>285</v>
      </c>
      <c r="S4" s="1">
        <v>285</v>
      </c>
      <c r="T4" s="1">
        <v>249</v>
      </c>
      <c r="U4" s="1"/>
      <c r="V4" s="8">
        <v>544</v>
      </c>
      <c r="W4" s="8">
        <v>544</v>
      </c>
      <c r="X4" s="8">
        <v>544</v>
      </c>
      <c r="Y4" s="8">
        <v>453</v>
      </c>
      <c r="Z4" s="8">
        <v>453</v>
      </c>
      <c r="AA4" s="8">
        <v>502</v>
      </c>
      <c r="AB4" s="8">
        <v>502</v>
      </c>
      <c r="AC4" s="8">
        <v>502</v>
      </c>
      <c r="AD4" s="8">
        <v>361</v>
      </c>
      <c r="AE4" s="1"/>
      <c r="AF4" s="8">
        <v>240</v>
      </c>
      <c r="AG4" s="8">
        <v>240</v>
      </c>
      <c r="AH4" s="8">
        <v>240</v>
      </c>
      <c r="AI4" s="8">
        <v>225</v>
      </c>
      <c r="AJ4" s="1"/>
      <c r="AK4" s="8">
        <v>226</v>
      </c>
      <c r="AL4" s="8">
        <v>226</v>
      </c>
      <c r="AM4" s="8">
        <v>226</v>
      </c>
      <c r="AN4" s="8">
        <v>177</v>
      </c>
      <c r="AO4" s="1">
        <v>177</v>
      </c>
      <c r="AP4" s="1"/>
      <c r="AQ4" s="1"/>
      <c r="AR4" s="1"/>
      <c r="AS4" s="1"/>
      <c r="AT4" s="1"/>
      <c r="AU4" s="1"/>
      <c r="AV4" s="1"/>
      <c r="AW4" s="1"/>
    </row>
    <row r="5" spans="1:49" x14ac:dyDescent="0.3">
      <c r="A5" s="5" t="s">
        <v>10</v>
      </c>
      <c r="B5" s="1">
        <v>442</v>
      </c>
      <c r="C5" s="8">
        <v>442</v>
      </c>
      <c r="D5" s="1">
        <v>370</v>
      </c>
      <c r="E5" s="1">
        <v>430</v>
      </c>
      <c r="F5" s="1">
        <v>426</v>
      </c>
      <c r="G5" s="1">
        <v>128</v>
      </c>
      <c r="H5" s="1">
        <v>128</v>
      </c>
      <c r="I5" s="1">
        <v>123</v>
      </c>
      <c r="J5" s="1">
        <v>138</v>
      </c>
      <c r="L5" s="1">
        <v>611</v>
      </c>
      <c r="M5" s="1">
        <v>611</v>
      </c>
      <c r="N5" s="1">
        <v>584</v>
      </c>
      <c r="O5" s="1">
        <v>645</v>
      </c>
      <c r="P5" s="1">
        <v>642</v>
      </c>
      <c r="Q5" s="1">
        <v>244</v>
      </c>
      <c r="R5" s="1">
        <v>244</v>
      </c>
      <c r="S5" s="1">
        <v>213</v>
      </c>
      <c r="T5" s="1">
        <v>238</v>
      </c>
      <c r="U5" s="1"/>
      <c r="V5" s="8">
        <v>467</v>
      </c>
      <c r="W5" s="8">
        <v>467</v>
      </c>
      <c r="X5" s="8">
        <v>398</v>
      </c>
      <c r="Y5" s="8">
        <v>446</v>
      </c>
      <c r="Z5" s="1">
        <v>445</v>
      </c>
      <c r="AA5" s="8">
        <v>428</v>
      </c>
      <c r="AB5" s="8">
        <v>428</v>
      </c>
      <c r="AC5" s="8">
        <v>318</v>
      </c>
      <c r="AD5" s="8">
        <v>354</v>
      </c>
      <c r="AE5" s="1"/>
      <c r="AF5" s="8">
        <v>302</v>
      </c>
      <c r="AG5" s="8">
        <v>302</v>
      </c>
      <c r="AH5" s="8">
        <v>189</v>
      </c>
      <c r="AI5" s="8">
        <v>219</v>
      </c>
      <c r="AJ5" s="1"/>
      <c r="AK5" s="1">
        <v>192</v>
      </c>
      <c r="AL5" s="8">
        <v>191</v>
      </c>
      <c r="AM5" s="8">
        <v>151</v>
      </c>
      <c r="AN5" s="8">
        <v>172</v>
      </c>
      <c r="AO5" s="1">
        <v>168</v>
      </c>
      <c r="AP5" s="1"/>
      <c r="AQ5" s="1"/>
      <c r="AR5" s="1"/>
      <c r="AS5" s="1"/>
      <c r="AT5" s="1"/>
      <c r="AU5" s="1"/>
      <c r="AV5" s="1"/>
      <c r="AW5" s="1"/>
    </row>
    <row r="6" spans="1:49" x14ac:dyDescent="0.3">
      <c r="A6" s="5" t="s">
        <v>6</v>
      </c>
      <c r="B6" s="1">
        <v>164</v>
      </c>
      <c r="C6" s="1">
        <v>183</v>
      </c>
      <c r="D6" s="1">
        <v>140</v>
      </c>
      <c r="E6" s="1">
        <v>168</v>
      </c>
      <c r="F6" s="1">
        <v>164</v>
      </c>
      <c r="G6" s="1">
        <v>39</v>
      </c>
      <c r="H6" s="1">
        <v>40</v>
      </c>
      <c r="I6" s="1">
        <v>39</v>
      </c>
      <c r="J6" s="1">
        <v>41</v>
      </c>
      <c r="L6" s="1">
        <v>111</v>
      </c>
      <c r="M6" s="1">
        <v>110</v>
      </c>
      <c r="N6" s="1">
        <v>105</v>
      </c>
      <c r="O6" s="1">
        <v>118</v>
      </c>
      <c r="P6" s="1">
        <v>115</v>
      </c>
      <c r="Q6" s="1">
        <v>51</v>
      </c>
      <c r="R6" s="1">
        <v>51</v>
      </c>
      <c r="S6" s="1">
        <v>46</v>
      </c>
      <c r="T6" s="1">
        <v>52</v>
      </c>
      <c r="U6" s="1"/>
      <c r="V6" s="1">
        <v>58</v>
      </c>
      <c r="W6" s="1">
        <v>60</v>
      </c>
      <c r="X6" s="1">
        <v>40</v>
      </c>
      <c r="Y6" s="1">
        <v>47</v>
      </c>
      <c r="Z6" s="1">
        <v>46</v>
      </c>
      <c r="AA6" s="1">
        <v>61</v>
      </c>
      <c r="AB6" s="1">
        <v>57</v>
      </c>
      <c r="AC6" s="1">
        <v>38</v>
      </c>
      <c r="AD6" s="1">
        <v>45</v>
      </c>
      <c r="AE6" s="1"/>
      <c r="AF6" s="1">
        <v>17</v>
      </c>
      <c r="AG6" s="1">
        <v>21</v>
      </c>
      <c r="AH6" s="1">
        <v>18</v>
      </c>
      <c r="AI6" s="1">
        <v>20</v>
      </c>
      <c r="AJ6" s="1"/>
      <c r="AK6" s="1">
        <v>84</v>
      </c>
      <c r="AL6" s="1">
        <v>77</v>
      </c>
      <c r="AM6" s="1">
        <v>70</v>
      </c>
      <c r="AN6" s="1">
        <v>88</v>
      </c>
      <c r="AO6" s="1">
        <v>84</v>
      </c>
      <c r="AP6" s="1"/>
      <c r="AQ6" s="1"/>
      <c r="AR6" s="1"/>
      <c r="AS6" s="1"/>
      <c r="AT6" s="1"/>
      <c r="AU6" s="1"/>
      <c r="AV6" s="1"/>
      <c r="AW6" s="1"/>
    </row>
    <row r="7" spans="1:49" x14ac:dyDescent="0.3">
      <c r="A7" s="5" t="s">
        <v>7</v>
      </c>
      <c r="B7" s="1">
        <v>18</v>
      </c>
      <c r="C7" s="1">
        <v>16</v>
      </c>
      <c r="D7" s="1">
        <v>16</v>
      </c>
      <c r="E7" s="1">
        <v>18</v>
      </c>
      <c r="F7" s="1">
        <v>18</v>
      </c>
      <c r="G7" s="1">
        <v>25</v>
      </c>
      <c r="H7" s="1">
        <v>24</v>
      </c>
      <c r="I7" s="1">
        <v>24</v>
      </c>
      <c r="J7" s="1">
        <v>25</v>
      </c>
      <c r="L7" s="1">
        <v>61</v>
      </c>
      <c r="M7" s="1">
        <v>61</v>
      </c>
      <c r="N7" s="1">
        <v>64</v>
      </c>
      <c r="O7" s="1">
        <v>72</v>
      </c>
      <c r="P7" s="1">
        <v>72</v>
      </c>
      <c r="Q7" s="1">
        <v>24</v>
      </c>
      <c r="R7" s="1">
        <v>22</v>
      </c>
      <c r="S7" s="1">
        <v>24</v>
      </c>
      <c r="T7" s="1">
        <v>29</v>
      </c>
      <c r="U7" s="1"/>
      <c r="V7" s="8">
        <v>17</v>
      </c>
      <c r="W7" s="8">
        <v>15</v>
      </c>
      <c r="X7" s="8">
        <v>16</v>
      </c>
      <c r="Y7" s="8">
        <v>18</v>
      </c>
      <c r="Z7" s="1">
        <v>18</v>
      </c>
      <c r="AA7" s="8">
        <v>20</v>
      </c>
      <c r="AB7" s="8">
        <v>16</v>
      </c>
      <c r="AC7" s="8">
        <v>16</v>
      </c>
      <c r="AD7" s="8">
        <v>16</v>
      </c>
      <c r="AE7" s="1"/>
      <c r="AF7" s="8">
        <v>7</v>
      </c>
      <c r="AG7" s="8">
        <v>7</v>
      </c>
      <c r="AH7" s="8">
        <v>7</v>
      </c>
      <c r="AI7" s="8">
        <v>7</v>
      </c>
      <c r="AJ7" s="1"/>
      <c r="AK7" s="8">
        <v>50</v>
      </c>
      <c r="AL7" s="8">
        <v>45</v>
      </c>
      <c r="AM7" s="8">
        <v>45</v>
      </c>
      <c r="AN7" s="1">
        <v>55</v>
      </c>
      <c r="AO7" s="1">
        <v>55</v>
      </c>
      <c r="AP7" s="1"/>
      <c r="AQ7" s="1"/>
      <c r="AR7" s="1"/>
      <c r="AS7" s="1"/>
      <c r="AT7" s="1"/>
      <c r="AU7" s="1"/>
      <c r="AV7" s="1"/>
      <c r="AW7" s="1"/>
    </row>
    <row r="8" spans="1:49" x14ac:dyDescent="0.3">
      <c r="A8" s="5" t="s">
        <v>8</v>
      </c>
      <c r="B8" s="1">
        <v>6</v>
      </c>
      <c r="C8" s="1">
        <v>6</v>
      </c>
      <c r="D8" s="1">
        <v>5</v>
      </c>
      <c r="E8" s="1">
        <v>7</v>
      </c>
      <c r="F8" s="1">
        <v>7</v>
      </c>
      <c r="G8" s="1">
        <v>18</v>
      </c>
      <c r="H8" s="1">
        <v>17</v>
      </c>
      <c r="I8" s="1">
        <v>17</v>
      </c>
      <c r="J8" s="1">
        <v>17</v>
      </c>
      <c r="L8" s="1">
        <v>30</v>
      </c>
      <c r="M8" s="1">
        <v>30</v>
      </c>
      <c r="N8" s="1">
        <v>29</v>
      </c>
      <c r="O8" s="1">
        <v>32</v>
      </c>
      <c r="P8" s="1">
        <v>32</v>
      </c>
      <c r="Q8" s="1">
        <v>9</v>
      </c>
      <c r="R8" s="1">
        <v>8</v>
      </c>
      <c r="S8" s="1">
        <v>10</v>
      </c>
      <c r="T8" s="1">
        <v>11</v>
      </c>
      <c r="U8" s="1"/>
      <c r="V8" s="8">
        <v>6</v>
      </c>
      <c r="W8" s="8">
        <v>6</v>
      </c>
      <c r="X8" s="8">
        <v>4</v>
      </c>
      <c r="Y8" s="8">
        <v>4</v>
      </c>
      <c r="Z8" s="1">
        <v>4</v>
      </c>
      <c r="AA8" s="8">
        <v>7</v>
      </c>
      <c r="AB8" s="8">
        <v>6</v>
      </c>
      <c r="AC8" s="8">
        <v>3</v>
      </c>
      <c r="AD8" s="8">
        <v>3</v>
      </c>
      <c r="AE8" s="1"/>
      <c r="AF8" s="8">
        <v>1</v>
      </c>
      <c r="AG8" s="8">
        <v>1</v>
      </c>
      <c r="AH8" s="8">
        <v>1</v>
      </c>
      <c r="AI8" s="8">
        <v>1</v>
      </c>
      <c r="AJ8" s="1"/>
      <c r="AK8" s="8">
        <v>38</v>
      </c>
      <c r="AL8" s="8">
        <v>34</v>
      </c>
      <c r="AM8" s="8">
        <v>33</v>
      </c>
      <c r="AN8" s="1">
        <v>39</v>
      </c>
      <c r="AO8" s="1">
        <v>39</v>
      </c>
      <c r="AP8" s="1"/>
      <c r="AQ8" s="1"/>
      <c r="AR8" s="1"/>
      <c r="AS8" s="1"/>
      <c r="AT8" s="1"/>
      <c r="AU8" s="1"/>
      <c r="AV8" s="1"/>
      <c r="AW8" s="1"/>
    </row>
    <row r="9" spans="1:49" x14ac:dyDescent="0.3">
      <c r="A9" s="5" t="s">
        <v>15</v>
      </c>
      <c r="B9" s="7">
        <f>B7/B6</f>
        <v>0.10975609756097561</v>
      </c>
      <c r="C9" s="7">
        <f>C7/C6</f>
        <v>8.7431693989071038E-2</v>
      </c>
      <c r="D9" s="7">
        <f>D7/D6</f>
        <v>0.11428571428571428</v>
      </c>
      <c r="E9" s="7">
        <f>E7/E6</f>
        <v>0.10714285714285714</v>
      </c>
      <c r="F9" s="7">
        <f>F7/F6</f>
        <v>0.10975609756097561</v>
      </c>
      <c r="G9" s="7">
        <f t="shared" ref="C9:J9" si="0">G7/G6</f>
        <v>0.64102564102564108</v>
      </c>
      <c r="H9" s="7">
        <f t="shared" si="0"/>
        <v>0.6</v>
      </c>
      <c r="I9" s="7">
        <f t="shared" si="0"/>
        <v>0.61538461538461542</v>
      </c>
      <c r="J9" s="7">
        <f t="shared" si="0"/>
        <v>0.6097560975609756</v>
      </c>
      <c r="K9" s="7"/>
      <c r="L9" s="7">
        <f t="shared" ref="L9:AO9" si="1">L7/L6</f>
        <v>0.5495495495495496</v>
      </c>
      <c r="M9" s="7">
        <f t="shared" si="1"/>
        <v>0.55454545454545456</v>
      </c>
      <c r="N9" s="7">
        <f t="shared" si="1"/>
        <v>0.60952380952380958</v>
      </c>
      <c r="O9" s="7">
        <f t="shared" si="1"/>
        <v>0.61016949152542377</v>
      </c>
      <c r="P9" s="7">
        <f t="shared" si="1"/>
        <v>0.62608695652173918</v>
      </c>
      <c r="Q9" s="7">
        <f t="shared" si="1"/>
        <v>0.47058823529411764</v>
      </c>
      <c r="R9" s="7">
        <f t="shared" si="1"/>
        <v>0.43137254901960786</v>
      </c>
      <c r="S9" s="7">
        <f t="shared" si="1"/>
        <v>0.52173913043478259</v>
      </c>
      <c r="T9" s="7">
        <f t="shared" si="1"/>
        <v>0.55769230769230771</v>
      </c>
      <c r="U9" s="7"/>
      <c r="V9" s="7">
        <f t="shared" si="1"/>
        <v>0.29310344827586204</v>
      </c>
      <c r="W9" s="7">
        <f t="shared" si="1"/>
        <v>0.25</v>
      </c>
      <c r="X9" s="7">
        <f t="shared" si="1"/>
        <v>0.4</v>
      </c>
      <c r="Y9" s="7">
        <f t="shared" si="1"/>
        <v>0.38297872340425532</v>
      </c>
      <c r="Z9" s="7">
        <f t="shared" si="1"/>
        <v>0.39130434782608697</v>
      </c>
      <c r="AA9" s="7">
        <f t="shared" si="1"/>
        <v>0.32786885245901637</v>
      </c>
      <c r="AB9" s="7">
        <f t="shared" si="1"/>
        <v>0.2807017543859649</v>
      </c>
      <c r="AC9" s="7">
        <f t="shared" si="1"/>
        <v>0.42105263157894735</v>
      </c>
      <c r="AD9" s="7">
        <f t="shared" si="1"/>
        <v>0.35555555555555557</v>
      </c>
      <c r="AE9" s="7"/>
      <c r="AF9" s="7">
        <f t="shared" si="1"/>
        <v>0.41176470588235292</v>
      </c>
      <c r="AG9" s="7">
        <f t="shared" si="1"/>
        <v>0.33333333333333331</v>
      </c>
      <c r="AH9" s="7">
        <f t="shared" si="1"/>
        <v>0.3888888888888889</v>
      </c>
      <c r="AI9" s="7">
        <f t="shared" si="1"/>
        <v>0.35</v>
      </c>
      <c r="AJ9" s="7"/>
      <c r="AK9" s="7">
        <f t="shared" si="1"/>
        <v>0.59523809523809523</v>
      </c>
      <c r="AL9" s="7">
        <f t="shared" si="1"/>
        <v>0.58441558441558439</v>
      </c>
      <c r="AM9" s="7">
        <f t="shared" si="1"/>
        <v>0.6428571428571429</v>
      </c>
      <c r="AN9" s="7">
        <f t="shared" si="1"/>
        <v>0.625</v>
      </c>
      <c r="AO9" s="7">
        <f t="shared" si="1"/>
        <v>0.65476190476190477</v>
      </c>
      <c r="AP9" s="1"/>
      <c r="AQ9" s="1"/>
      <c r="AR9" s="1"/>
      <c r="AS9" s="1"/>
      <c r="AT9" s="1"/>
      <c r="AU9" s="1"/>
      <c r="AV9" s="1"/>
      <c r="AW9" s="1"/>
    </row>
    <row r="10" spans="1:49" x14ac:dyDescent="0.3">
      <c r="A10" s="5" t="s">
        <v>16</v>
      </c>
      <c r="B10" s="7">
        <f>B8/B6</f>
        <v>3.6585365853658534E-2</v>
      </c>
      <c r="C10" s="7">
        <f>C8/C6</f>
        <v>3.2786885245901641E-2</v>
      </c>
      <c r="D10" s="7">
        <f>D8/D6</f>
        <v>3.5714285714285712E-2</v>
      </c>
      <c r="E10" s="7">
        <f>E8/E6</f>
        <v>4.1666666666666664E-2</v>
      </c>
      <c r="F10" s="7">
        <f>F8/F6</f>
        <v>4.2682926829268296E-2</v>
      </c>
      <c r="G10" s="7">
        <f t="shared" ref="C10:J10" si="2">G8/G6</f>
        <v>0.46153846153846156</v>
      </c>
      <c r="H10" s="7">
        <f t="shared" si="2"/>
        <v>0.42499999999999999</v>
      </c>
      <c r="I10" s="7">
        <f t="shared" si="2"/>
        <v>0.4358974358974359</v>
      </c>
      <c r="J10" s="7">
        <f t="shared" si="2"/>
        <v>0.41463414634146339</v>
      </c>
      <c r="K10" s="7"/>
      <c r="L10" s="7">
        <f t="shared" ref="L10:AO10" si="3">L8/L6</f>
        <v>0.27027027027027029</v>
      </c>
      <c r="M10" s="7">
        <f t="shared" si="3"/>
        <v>0.27272727272727271</v>
      </c>
      <c r="N10" s="7">
        <f t="shared" si="3"/>
        <v>0.27619047619047621</v>
      </c>
      <c r="O10" s="7">
        <f t="shared" si="3"/>
        <v>0.2711864406779661</v>
      </c>
      <c r="P10" s="7">
        <f t="shared" si="3"/>
        <v>0.27826086956521739</v>
      </c>
      <c r="Q10" s="7">
        <f t="shared" si="3"/>
        <v>0.17647058823529413</v>
      </c>
      <c r="R10" s="7">
        <f t="shared" si="3"/>
        <v>0.15686274509803921</v>
      </c>
      <c r="S10" s="7">
        <f t="shared" si="3"/>
        <v>0.21739130434782608</v>
      </c>
      <c r="T10" s="7">
        <f t="shared" si="3"/>
        <v>0.21153846153846154</v>
      </c>
      <c r="U10" s="7"/>
      <c r="V10" s="7">
        <f t="shared" si="3"/>
        <v>0.10344827586206896</v>
      </c>
      <c r="W10" s="7">
        <f t="shared" si="3"/>
        <v>0.1</v>
      </c>
      <c r="X10" s="7">
        <f t="shared" si="3"/>
        <v>0.1</v>
      </c>
      <c r="Y10" s="7">
        <f t="shared" si="3"/>
        <v>8.5106382978723402E-2</v>
      </c>
      <c r="Z10" s="7">
        <f t="shared" si="3"/>
        <v>8.6956521739130432E-2</v>
      </c>
      <c r="AA10" s="7">
        <f t="shared" si="3"/>
        <v>0.11475409836065574</v>
      </c>
      <c r="AB10" s="7">
        <f t="shared" si="3"/>
        <v>0.10526315789473684</v>
      </c>
      <c r="AC10" s="7">
        <f t="shared" si="3"/>
        <v>7.8947368421052627E-2</v>
      </c>
      <c r="AD10" s="7">
        <f t="shared" si="3"/>
        <v>6.6666666666666666E-2</v>
      </c>
      <c r="AE10" s="7"/>
      <c r="AF10" s="7">
        <f t="shared" si="3"/>
        <v>5.8823529411764705E-2</v>
      </c>
      <c r="AG10" s="7">
        <f t="shared" si="3"/>
        <v>4.7619047619047616E-2</v>
      </c>
      <c r="AH10" s="7">
        <f t="shared" si="3"/>
        <v>5.5555555555555552E-2</v>
      </c>
      <c r="AI10" s="7">
        <f t="shared" si="3"/>
        <v>0.05</v>
      </c>
      <c r="AJ10" s="7"/>
      <c r="AK10" s="7">
        <f t="shared" si="3"/>
        <v>0.45238095238095238</v>
      </c>
      <c r="AL10" s="7">
        <f t="shared" si="3"/>
        <v>0.44155844155844154</v>
      </c>
      <c r="AM10" s="7">
        <f t="shared" si="3"/>
        <v>0.47142857142857142</v>
      </c>
      <c r="AN10" s="7">
        <f t="shared" si="3"/>
        <v>0.44318181818181818</v>
      </c>
      <c r="AO10" s="7">
        <f t="shared" si="3"/>
        <v>0.4642857142857143</v>
      </c>
      <c r="AP10" s="1"/>
      <c r="AQ10" s="1"/>
      <c r="AR10" s="1"/>
      <c r="AS10" s="1"/>
      <c r="AT10" s="1"/>
      <c r="AU10" s="1"/>
      <c r="AV10" s="1"/>
      <c r="AW10" s="1"/>
    </row>
    <row r="12" spans="1:49" x14ac:dyDescent="0.3">
      <c r="A12" s="4" t="s">
        <v>38</v>
      </c>
    </row>
    <row r="13" spans="1:49" x14ac:dyDescent="0.3">
      <c r="A13" s="1"/>
      <c r="B13" s="1" t="s">
        <v>26</v>
      </c>
      <c r="C13" s="1"/>
      <c r="D13" s="1"/>
      <c r="E13" s="1"/>
      <c r="F13" s="1"/>
    </row>
    <row r="14" spans="1:49" x14ac:dyDescent="0.3">
      <c r="A14" s="1"/>
      <c r="B14" s="1" t="s">
        <v>20</v>
      </c>
      <c r="C14" s="1" t="s">
        <v>21</v>
      </c>
      <c r="D14" s="1" t="s">
        <v>22</v>
      </c>
      <c r="E14" s="1" t="s">
        <v>25</v>
      </c>
      <c r="F14" s="1"/>
      <c r="G14" s="1" t="s">
        <v>11</v>
      </c>
      <c r="I14" s="1" t="s">
        <v>12</v>
      </c>
      <c r="K14" s="1" t="s">
        <v>13</v>
      </c>
    </row>
    <row r="15" spans="1:49" x14ac:dyDescent="0.3">
      <c r="A15" s="5" t="s">
        <v>9</v>
      </c>
      <c r="B15" s="1">
        <v>535</v>
      </c>
      <c r="C15" s="1">
        <v>535</v>
      </c>
      <c r="D15" s="1">
        <v>535</v>
      </c>
      <c r="E15" s="1">
        <v>439</v>
      </c>
      <c r="F15" s="1">
        <v>439</v>
      </c>
      <c r="G15" s="1">
        <v>51</v>
      </c>
      <c r="I15" s="1">
        <v>128</v>
      </c>
      <c r="J15" s="1">
        <v>128</v>
      </c>
      <c r="K15" s="1">
        <v>199</v>
      </c>
      <c r="L15" s="1">
        <v>199</v>
      </c>
    </row>
    <row r="16" spans="1:49" x14ac:dyDescent="0.3">
      <c r="A16" s="5" t="s">
        <v>10</v>
      </c>
      <c r="B16" s="1">
        <v>442</v>
      </c>
      <c r="C16" s="8">
        <v>442</v>
      </c>
      <c r="D16" s="1">
        <v>370</v>
      </c>
      <c r="E16" s="1">
        <v>430</v>
      </c>
      <c r="F16" s="1">
        <v>426</v>
      </c>
      <c r="G16" s="1">
        <v>50</v>
      </c>
      <c r="I16" s="1">
        <v>128</v>
      </c>
      <c r="J16" s="1">
        <v>127</v>
      </c>
      <c r="K16" s="1">
        <v>192</v>
      </c>
      <c r="L16" s="1">
        <v>190</v>
      </c>
    </row>
    <row r="17" spans="1:12" x14ac:dyDescent="0.3">
      <c r="A17" s="5" t="s">
        <v>6</v>
      </c>
      <c r="B17" s="1">
        <v>164</v>
      </c>
      <c r="C17" s="1">
        <v>183</v>
      </c>
      <c r="D17" s="1">
        <v>140</v>
      </c>
      <c r="E17" s="1">
        <v>168</v>
      </c>
      <c r="F17" s="1">
        <v>164</v>
      </c>
      <c r="G17" s="1">
        <v>28</v>
      </c>
      <c r="I17" s="1">
        <v>52</v>
      </c>
      <c r="J17" s="1">
        <v>51</v>
      </c>
      <c r="K17" s="1">
        <v>74</v>
      </c>
      <c r="L17" s="1">
        <v>72</v>
      </c>
    </row>
    <row r="18" spans="1:12" x14ac:dyDescent="0.3">
      <c r="A18" s="5" t="s">
        <v>7</v>
      </c>
      <c r="B18" s="1">
        <v>18</v>
      </c>
      <c r="C18" s="1">
        <v>16</v>
      </c>
      <c r="D18" s="1">
        <v>16</v>
      </c>
      <c r="E18" s="1">
        <v>18</v>
      </c>
      <c r="F18" s="1">
        <v>18</v>
      </c>
      <c r="G18" s="1">
        <v>2</v>
      </c>
      <c r="I18" s="1">
        <v>7</v>
      </c>
      <c r="J18" s="1">
        <v>7</v>
      </c>
      <c r="K18" s="1">
        <v>9</v>
      </c>
      <c r="L18" s="1">
        <v>9</v>
      </c>
    </row>
    <row r="19" spans="1:12" x14ac:dyDescent="0.3">
      <c r="A19" s="5" t="s">
        <v>8</v>
      </c>
      <c r="B19" s="1">
        <v>6</v>
      </c>
      <c r="C19" s="1">
        <v>6</v>
      </c>
      <c r="D19" s="1">
        <v>5</v>
      </c>
      <c r="E19" s="1">
        <v>7</v>
      </c>
      <c r="F19" s="1">
        <v>7</v>
      </c>
      <c r="G19" s="1">
        <v>1</v>
      </c>
      <c r="I19" s="1">
        <v>4</v>
      </c>
      <c r="J19" s="1">
        <v>4</v>
      </c>
      <c r="K19" s="1">
        <v>2</v>
      </c>
      <c r="L19" s="1">
        <v>2</v>
      </c>
    </row>
    <row r="20" spans="1:12" x14ac:dyDescent="0.3">
      <c r="A20" s="5" t="s">
        <v>15</v>
      </c>
      <c r="B20" s="7">
        <f>B18/B17</f>
        <v>0.10975609756097561</v>
      </c>
      <c r="C20" s="7">
        <f>C18/C17</f>
        <v>8.7431693989071038E-2</v>
      </c>
      <c r="D20" s="7">
        <f>D18/D17</f>
        <v>0.11428571428571428</v>
      </c>
      <c r="E20" s="7">
        <f>E18/E17</f>
        <v>0.10714285714285714</v>
      </c>
      <c r="F20" s="7">
        <f>F18/F17</f>
        <v>0.10975609756097561</v>
      </c>
      <c r="G20" s="7">
        <f t="shared" ref="G20:L20" si="4">G18/G17</f>
        <v>7.1428571428571425E-2</v>
      </c>
      <c r="H20" s="7"/>
      <c r="I20" s="7">
        <f t="shared" si="4"/>
        <v>0.13461538461538461</v>
      </c>
      <c r="J20" s="7">
        <f t="shared" si="4"/>
        <v>0.13725490196078433</v>
      </c>
      <c r="K20" s="7">
        <f t="shared" si="4"/>
        <v>0.12162162162162163</v>
      </c>
      <c r="L20" s="7">
        <f t="shared" si="4"/>
        <v>0.125</v>
      </c>
    </row>
    <row r="21" spans="1:12" x14ac:dyDescent="0.3">
      <c r="A21" s="5" t="s">
        <v>16</v>
      </c>
      <c r="B21" s="7">
        <f>B19/B17</f>
        <v>3.6585365853658534E-2</v>
      </c>
      <c r="C21" s="7">
        <f>C19/C17</f>
        <v>3.2786885245901641E-2</v>
      </c>
      <c r="D21" s="7">
        <f>D19/D17</f>
        <v>3.5714285714285712E-2</v>
      </c>
      <c r="E21" s="7">
        <f>E19/E17</f>
        <v>4.1666666666666664E-2</v>
      </c>
      <c r="F21" s="7">
        <f>F19/F17</f>
        <v>4.2682926829268296E-2</v>
      </c>
      <c r="G21" s="7">
        <f t="shared" ref="G21:L21" si="5">G19/G17</f>
        <v>3.5714285714285712E-2</v>
      </c>
      <c r="H21" s="7"/>
      <c r="I21" s="7">
        <f t="shared" si="5"/>
        <v>7.6923076923076927E-2</v>
      </c>
      <c r="J21" s="7">
        <f t="shared" si="5"/>
        <v>7.8431372549019607E-2</v>
      </c>
      <c r="K21" s="7">
        <f t="shared" si="5"/>
        <v>2.7027027027027029E-2</v>
      </c>
      <c r="L21" s="7">
        <f t="shared" si="5"/>
        <v>2.7777777777777776E-2</v>
      </c>
    </row>
    <row r="23" spans="1:12" x14ac:dyDescent="0.3">
      <c r="A23" s="1"/>
      <c r="B23" s="1" t="s">
        <v>27</v>
      </c>
      <c r="C23" s="1"/>
      <c r="D23" s="1"/>
      <c r="E23" s="1"/>
      <c r="F23" s="1"/>
    </row>
    <row r="24" spans="1:12" x14ac:dyDescent="0.3">
      <c r="A24" s="1"/>
      <c r="B24" s="1" t="s">
        <v>20</v>
      </c>
      <c r="C24" s="1" t="s">
        <v>21</v>
      </c>
      <c r="D24" s="1" t="s">
        <v>22</v>
      </c>
      <c r="E24" s="1" t="s">
        <v>25</v>
      </c>
      <c r="F24" s="1"/>
      <c r="G24" s="1" t="s">
        <v>11</v>
      </c>
      <c r="I24" s="1" t="s">
        <v>12</v>
      </c>
      <c r="K24" s="1" t="s">
        <v>13</v>
      </c>
    </row>
    <row r="25" spans="1:12" x14ac:dyDescent="0.3">
      <c r="A25" s="5" t="s">
        <v>9</v>
      </c>
      <c r="B25" s="1">
        <v>160</v>
      </c>
      <c r="C25" s="1">
        <v>160</v>
      </c>
      <c r="D25" s="1">
        <v>160</v>
      </c>
      <c r="E25" s="1">
        <v>142</v>
      </c>
      <c r="F25" s="1"/>
      <c r="G25" s="1">
        <v>9</v>
      </c>
      <c r="I25" s="1">
        <v>47</v>
      </c>
      <c r="K25" s="1">
        <v>71</v>
      </c>
    </row>
    <row r="26" spans="1:12" x14ac:dyDescent="0.3">
      <c r="A26" s="5" t="s">
        <v>10</v>
      </c>
      <c r="B26" s="1">
        <v>128</v>
      </c>
      <c r="C26" s="1">
        <v>128</v>
      </c>
      <c r="D26" s="1">
        <v>123</v>
      </c>
      <c r="E26" s="1">
        <v>138</v>
      </c>
      <c r="F26" s="1"/>
      <c r="G26" s="1">
        <v>9</v>
      </c>
      <c r="I26" s="1">
        <v>45</v>
      </c>
      <c r="K26" s="1">
        <v>70</v>
      </c>
    </row>
    <row r="27" spans="1:12" x14ac:dyDescent="0.3">
      <c r="A27" s="5" t="s">
        <v>6</v>
      </c>
      <c r="B27" s="1">
        <v>39</v>
      </c>
      <c r="C27" s="1">
        <v>40</v>
      </c>
      <c r="D27" s="1">
        <v>39</v>
      </c>
      <c r="E27" s="1">
        <v>41</v>
      </c>
      <c r="F27" s="1"/>
      <c r="G27" s="1">
        <v>3</v>
      </c>
      <c r="I27" s="1">
        <v>11</v>
      </c>
      <c r="K27" s="1">
        <v>24</v>
      </c>
    </row>
    <row r="28" spans="1:12" x14ac:dyDescent="0.3">
      <c r="A28" s="5" t="s">
        <v>7</v>
      </c>
      <c r="B28" s="1">
        <v>25</v>
      </c>
      <c r="C28" s="1">
        <v>24</v>
      </c>
      <c r="D28" s="1">
        <v>24</v>
      </c>
      <c r="E28" s="1">
        <v>25</v>
      </c>
      <c r="F28" s="1"/>
      <c r="G28" s="1">
        <v>3</v>
      </c>
      <c r="I28" s="1">
        <v>8</v>
      </c>
      <c r="K28" s="1">
        <v>14</v>
      </c>
    </row>
    <row r="29" spans="1:12" x14ac:dyDescent="0.3">
      <c r="A29" s="5" t="s">
        <v>8</v>
      </c>
      <c r="B29" s="1">
        <v>18</v>
      </c>
      <c r="C29" s="1">
        <v>17</v>
      </c>
      <c r="D29" s="1">
        <v>17</v>
      </c>
      <c r="E29" s="1">
        <v>17</v>
      </c>
      <c r="F29" s="1"/>
      <c r="G29" s="1">
        <v>3</v>
      </c>
      <c r="I29" s="1">
        <v>7</v>
      </c>
      <c r="K29" s="1">
        <v>7</v>
      </c>
    </row>
    <row r="30" spans="1:12" x14ac:dyDescent="0.3">
      <c r="A30" s="5" t="s">
        <v>15</v>
      </c>
      <c r="B30" s="7">
        <f t="shared" ref="B30:F30" si="6">B28/B27</f>
        <v>0.64102564102564108</v>
      </c>
      <c r="C30" s="7">
        <f t="shared" si="6"/>
        <v>0.6</v>
      </c>
      <c r="D30" s="7">
        <f t="shared" si="6"/>
        <v>0.61538461538461542</v>
      </c>
      <c r="E30" s="7">
        <f t="shared" si="6"/>
        <v>0.6097560975609756</v>
      </c>
      <c r="F30" s="7"/>
      <c r="G30" s="7">
        <f t="shared" ref="F30:K30" si="7">G28/G27</f>
        <v>1</v>
      </c>
      <c r="H30" s="7"/>
      <c r="I30" s="7">
        <f t="shared" si="7"/>
        <v>0.72727272727272729</v>
      </c>
      <c r="J30" s="7"/>
      <c r="K30" s="7">
        <f t="shared" si="7"/>
        <v>0.58333333333333337</v>
      </c>
    </row>
    <row r="31" spans="1:12" x14ac:dyDescent="0.3">
      <c r="A31" s="5" t="s">
        <v>16</v>
      </c>
      <c r="B31" s="7">
        <f t="shared" ref="B31:F31" si="8">B29/B27</f>
        <v>0.46153846153846156</v>
      </c>
      <c r="C31" s="7">
        <f t="shared" si="8"/>
        <v>0.42499999999999999</v>
      </c>
      <c r="D31" s="7">
        <f t="shared" si="8"/>
        <v>0.4358974358974359</v>
      </c>
      <c r="E31" s="7">
        <f t="shared" si="8"/>
        <v>0.41463414634146339</v>
      </c>
      <c r="F31" s="7"/>
      <c r="G31" s="7">
        <f t="shared" ref="F31:K31" si="9">G29/G27</f>
        <v>1</v>
      </c>
      <c r="H31" s="7"/>
      <c r="I31" s="7">
        <f t="shared" si="9"/>
        <v>0.63636363636363635</v>
      </c>
      <c r="J31" s="7"/>
      <c r="K31" s="7">
        <f t="shared" si="9"/>
        <v>0.29166666666666669</v>
      </c>
    </row>
    <row r="33" spans="1:11" x14ac:dyDescent="0.3">
      <c r="A33" s="1"/>
      <c r="B33" s="1" t="s">
        <v>28</v>
      </c>
      <c r="C33" s="1"/>
      <c r="D33" s="1"/>
      <c r="E33" s="1"/>
      <c r="F33" s="1"/>
    </row>
    <row r="34" spans="1:11" x14ac:dyDescent="0.3">
      <c r="A34" s="1"/>
      <c r="B34" s="1" t="s">
        <v>20</v>
      </c>
      <c r="C34" s="1" t="s">
        <v>21</v>
      </c>
      <c r="D34" s="1" t="s">
        <v>22</v>
      </c>
      <c r="E34" s="1" t="s">
        <v>25</v>
      </c>
      <c r="F34" s="1"/>
      <c r="G34" s="1" t="s">
        <v>11</v>
      </c>
      <c r="I34" s="1" t="s">
        <v>12</v>
      </c>
      <c r="K34" s="1" t="s">
        <v>13</v>
      </c>
    </row>
    <row r="35" spans="1:11" x14ac:dyDescent="0.3">
      <c r="A35" s="5" t="s">
        <v>9</v>
      </c>
      <c r="B35" s="1">
        <v>691</v>
      </c>
      <c r="C35" s="1">
        <v>691</v>
      </c>
      <c r="D35" s="1">
        <v>691</v>
      </c>
      <c r="E35" s="1">
        <v>654</v>
      </c>
      <c r="F35" s="1">
        <v>654</v>
      </c>
      <c r="G35" s="1">
        <v>39</v>
      </c>
      <c r="I35" s="1">
        <v>138</v>
      </c>
      <c r="J35" s="1">
        <v>138</v>
      </c>
      <c r="K35" s="1">
        <v>309</v>
      </c>
    </row>
    <row r="36" spans="1:11" x14ac:dyDescent="0.3">
      <c r="A36" s="5" t="s">
        <v>10</v>
      </c>
      <c r="B36" s="1">
        <v>611</v>
      </c>
      <c r="C36" s="1">
        <v>611</v>
      </c>
      <c r="D36" s="1">
        <v>584</v>
      </c>
      <c r="E36" s="1">
        <v>645</v>
      </c>
      <c r="F36" s="1">
        <v>642</v>
      </c>
      <c r="G36" s="1">
        <v>36</v>
      </c>
      <c r="I36" s="1">
        <v>137</v>
      </c>
      <c r="J36" s="1">
        <v>136</v>
      </c>
      <c r="K36" s="1">
        <v>305</v>
      </c>
    </row>
    <row r="37" spans="1:11" x14ac:dyDescent="0.3">
      <c r="A37" s="5" t="s">
        <v>6</v>
      </c>
      <c r="B37" s="1">
        <v>111</v>
      </c>
      <c r="C37" s="1">
        <v>110</v>
      </c>
      <c r="D37" s="1">
        <v>105</v>
      </c>
      <c r="E37" s="1">
        <v>118</v>
      </c>
      <c r="F37" s="1">
        <v>115</v>
      </c>
      <c r="G37" s="1">
        <v>5</v>
      </c>
      <c r="I37" s="1">
        <v>27</v>
      </c>
      <c r="J37" s="1">
        <v>26</v>
      </c>
      <c r="K37" s="1">
        <v>75</v>
      </c>
    </row>
    <row r="38" spans="1:11" x14ac:dyDescent="0.3">
      <c r="A38" s="5" t="s">
        <v>7</v>
      </c>
      <c r="B38" s="1">
        <v>61</v>
      </c>
      <c r="C38" s="1">
        <v>61</v>
      </c>
      <c r="D38" s="1">
        <v>64</v>
      </c>
      <c r="E38" s="1">
        <v>72</v>
      </c>
      <c r="F38" s="1">
        <v>72</v>
      </c>
      <c r="G38" s="1">
        <v>5</v>
      </c>
      <c r="I38" s="1">
        <v>22</v>
      </c>
      <c r="J38" s="1">
        <v>22</v>
      </c>
      <c r="K38" s="1">
        <v>45</v>
      </c>
    </row>
    <row r="39" spans="1:11" x14ac:dyDescent="0.3">
      <c r="A39" s="5" t="s">
        <v>8</v>
      </c>
      <c r="B39" s="1">
        <v>30</v>
      </c>
      <c r="C39" s="1">
        <v>30</v>
      </c>
      <c r="D39" s="1">
        <v>29</v>
      </c>
      <c r="E39" s="1">
        <v>32</v>
      </c>
      <c r="F39" s="1">
        <v>32</v>
      </c>
      <c r="G39" s="1">
        <v>4</v>
      </c>
      <c r="I39" s="1">
        <v>16</v>
      </c>
      <c r="J39" s="1">
        <v>16</v>
      </c>
      <c r="K39" s="1">
        <v>12</v>
      </c>
    </row>
    <row r="40" spans="1:11" x14ac:dyDescent="0.3">
      <c r="A40" s="5" t="s">
        <v>15</v>
      </c>
      <c r="B40" s="7">
        <f t="shared" ref="B40:F40" si="10">B38/B37</f>
        <v>0.5495495495495496</v>
      </c>
      <c r="C40" s="7">
        <f t="shared" si="10"/>
        <v>0.55454545454545456</v>
      </c>
      <c r="D40" s="7">
        <f t="shared" si="10"/>
        <v>0.60952380952380958</v>
      </c>
      <c r="E40" s="7">
        <f t="shared" si="10"/>
        <v>0.61016949152542377</v>
      </c>
      <c r="F40" s="7">
        <f t="shared" si="10"/>
        <v>0.62608695652173918</v>
      </c>
      <c r="G40" s="7">
        <f t="shared" ref="G40:K40" si="11">G38/G37</f>
        <v>1</v>
      </c>
      <c r="H40" s="7"/>
      <c r="I40" s="7">
        <f t="shared" si="11"/>
        <v>0.81481481481481477</v>
      </c>
      <c r="J40" s="7">
        <f t="shared" si="11"/>
        <v>0.84615384615384615</v>
      </c>
      <c r="K40" s="7">
        <f t="shared" si="11"/>
        <v>0.6</v>
      </c>
    </row>
    <row r="41" spans="1:11" x14ac:dyDescent="0.3">
      <c r="A41" s="5" t="s">
        <v>16</v>
      </c>
      <c r="B41" s="7">
        <f t="shared" ref="B41:F41" si="12">B39/B37</f>
        <v>0.27027027027027029</v>
      </c>
      <c r="C41" s="7">
        <f t="shared" si="12"/>
        <v>0.27272727272727271</v>
      </c>
      <c r="D41" s="7">
        <f t="shared" si="12"/>
        <v>0.27619047619047621</v>
      </c>
      <c r="E41" s="7">
        <f t="shared" si="12"/>
        <v>0.2711864406779661</v>
      </c>
      <c r="F41" s="7">
        <f t="shared" si="12"/>
        <v>0.27826086956521739</v>
      </c>
      <c r="G41" s="7">
        <f t="shared" ref="G41:K41" si="13">G39/G37</f>
        <v>0.8</v>
      </c>
      <c r="H41" s="7"/>
      <c r="I41" s="7">
        <f t="shared" si="13"/>
        <v>0.59259259259259256</v>
      </c>
      <c r="J41" s="7">
        <f t="shared" si="13"/>
        <v>0.61538461538461542</v>
      </c>
      <c r="K41" s="7">
        <f t="shared" si="13"/>
        <v>0.16</v>
      </c>
    </row>
    <row r="43" spans="1:11" x14ac:dyDescent="0.3">
      <c r="A43" s="1"/>
      <c r="B43" s="1" t="s">
        <v>29</v>
      </c>
      <c r="C43" s="1"/>
      <c r="D43" s="1"/>
      <c r="E43" s="1"/>
    </row>
    <row r="44" spans="1:11" x14ac:dyDescent="0.3">
      <c r="A44" s="1"/>
      <c r="B44" s="1" t="s">
        <v>20</v>
      </c>
      <c r="C44" s="1" t="s">
        <v>21</v>
      </c>
      <c r="D44" s="1" t="s">
        <v>22</v>
      </c>
      <c r="E44" s="1" t="s">
        <v>25</v>
      </c>
      <c r="G44" s="1" t="s">
        <v>11</v>
      </c>
      <c r="I44" s="1" t="s">
        <v>12</v>
      </c>
      <c r="K44" s="1" t="s">
        <v>13</v>
      </c>
    </row>
    <row r="45" spans="1:11" x14ac:dyDescent="0.3">
      <c r="A45" s="5" t="s">
        <v>9</v>
      </c>
      <c r="B45" s="1">
        <v>285</v>
      </c>
      <c r="C45" s="1">
        <v>285</v>
      </c>
      <c r="D45" s="1">
        <v>285</v>
      </c>
      <c r="E45" s="1">
        <v>249</v>
      </c>
      <c r="G45" s="1">
        <v>23</v>
      </c>
      <c r="I45" s="1">
        <v>51</v>
      </c>
      <c r="K45" s="1">
        <v>136</v>
      </c>
    </row>
    <row r="46" spans="1:11" x14ac:dyDescent="0.3">
      <c r="A46" s="5" t="s">
        <v>10</v>
      </c>
      <c r="B46" s="1">
        <v>244</v>
      </c>
      <c r="C46" s="1">
        <v>244</v>
      </c>
      <c r="D46" s="1">
        <v>213</v>
      </c>
      <c r="E46" s="1">
        <v>238</v>
      </c>
      <c r="G46" s="1">
        <v>23</v>
      </c>
      <c r="I46" s="1">
        <v>51</v>
      </c>
      <c r="K46" s="1">
        <v>128</v>
      </c>
    </row>
    <row r="47" spans="1:11" x14ac:dyDescent="0.3">
      <c r="A47" s="5" t="s">
        <v>6</v>
      </c>
      <c r="B47" s="1">
        <v>51</v>
      </c>
      <c r="C47" s="1">
        <v>51</v>
      </c>
      <c r="D47" s="1">
        <v>46</v>
      </c>
      <c r="E47" s="1">
        <v>52</v>
      </c>
      <c r="G47" s="1">
        <v>4</v>
      </c>
      <c r="I47" s="1">
        <v>9</v>
      </c>
      <c r="K47" s="1">
        <v>37</v>
      </c>
    </row>
    <row r="48" spans="1:11" x14ac:dyDescent="0.3">
      <c r="A48" s="5" t="s">
        <v>7</v>
      </c>
      <c r="B48" s="1">
        <v>24</v>
      </c>
      <c r="C48" s="1">
        <v>22</v>
      </c>
      <c r="D48" s="1">
        <v>24</v>
      </c>
      <c r="E48" s="1">
        <v>29</v>
      </c>
      <c r="G48" s="1">
        <v>3</v>
      </c>
      <c r="I48" s="1">
        <v>9</v>
      </c>
      <c r="K48" s="1">
        <v>17</v>
      </c>
    </row>
    <row r="49" spans="1:11" x14ac:dyDescent="0.3">
      <c r="A49" s="5" t="s">
        <v>8</v>
      </c>
      <c r="B49" s="1">
        <v>9</v>
      </c>
      <c r="C49" s="1">
        <v>8</v>
      </c>
      <c r="D49" s="1">
        <v>10</v>
      </c>
      <c r="E49" s="1">
        <v>11</v>
      </c>
      <c r="G49" s="1">
        <v>3</v>
      </c>
      <c r="I49" s="1">
        <v>4</v>
      </c>
      <c r="K49" s="1">
        <v>4</v>
      </c>
    </row>
    <row r="50" spans="1:11" x14ac:dyDescent="0.3">
      <c r="A50" s="5" t="s">
        <v>15</v>
      </c>
      <c r="B50" s="7">
        <f t="shared" ref="B50:E50" si="14">B48/B47</f>
        <v>0.47058823529411764</v>
      </c>
      <c r="C50" s="7">
        <f t="shared" si="14"/>
        <v>0.43137254901960786</v>
      </c>
      <c r="D50" s="7">
        <f t="shared" si="14"/>
        <v>0.52173913043478259</v>
      </c>
      <c r="E50" s="7">
        <f t="shared" si="14"/>
        <v>0.55769230769230771</v>
      </c>
      <c r="F50" s="7"/>
      <c r="G50" s="7">
        <f t="shared" ref="F50:K50" si="15">G48/G47</f>
        <v>0.75</v>
      </c>
      <c r="H50" s="7"/>
      <c r="I50" s="7">
        <f t="shared" si="15"/>
        <v>1</v>
      </c>
      <c r="J50" s="7"/>
      <c r="K50" s="7">
        <f t="shared" si="15"/>
        <v>0.45945945945945948</v>
      </c>
    </row>
    <row r="51" spans="1:11" x14ac:dyDescent="0.3">
      <c r="A51" s="5" t="s">
        <v>16</v>
      </c>
      <c r="B51" s="7">
        <f t="shared" ref="B51:E51" si="16">B49/B47</f>
        <v>0.17647058823529413</v>
      </c>
      <c r="C51" s="7">
        <f t="shared" si="16"/>
        <v>0.15686274509803921</v>
      </c>
      <c r="D51" s="7">
        <f t="shared" si="16"/>
        <v>0.21739130434782608</v>
      </c>
      <c r="E51" s="7">
        <f t="shared" si="16"/>
        <v>0.21153846153846154</v>
      </c>
      <c r="F51" s="7"/>
      <c r="G51" s="7">
        <f t="shared" ref="F51:K51" si="17">G49/G47</f>
        <v>0.75</v>
      </c>
      <c r="H51" s="7"/>
      <c r="I51" s="7">
        <f t="shared" si="17"/>
        <v>0.44444444444444442</v>
      </c>
      <c r="J51" s="7"/>
      <c r="K51" s="7">
        <f t="shared" si="17"/>
        <v>0.10810810810810811</v>
      </c>
    </row>
    <row r="53" spans="1:11" x14ac:dyDescent="0.3">
      <c r="A53" s="1"/>
      <c r="B53" s="8" t="s">
        <v>30</v>
      </c>
      <c r="C53" s="8"/>
      <c r="D53" s="8"/>
      <c r="E53" s="8"/>
      <c r="F53" s="1"/>
    </row>
    <row r="54" spans="1:11" x14ac:dyDescent="0.3">
      <c r="A54" s="1"/>
      <c r="B54" s="8" t="s">
        <v>20</v>
      </c>
      <c r="C54" s="8" t="s">
        <v>21</v>
      </c>
      <c r="D54" s="8" t="s">
        <v>22</v>
      </c>
      <c r="E54" s="8" t="s">
        <v>25</v>
      </c>
      <c r="F54" s="1"/>
      <c r="G54" s="1" t="s">
        <v>11</v>
      </c>
      <c r="I54" s="1" t="s">
        <v>12</v>
      </c>
      <c r="K54" s="1" t="s">
        <v>13</v>
      </c>
    </row>
    <row r="55" spans="1:11" x14ac:dyDescent="0.3">
      <c r="A55" s="5" t="s">
        <v>9</v>
      </c>
      <c r="B55" s="8">
        <v>544</v>
      </c>
      <c r="C55" s="8">
        <v>544</v>
      </c>
      <c r="D55" s="8">
        <v>544</v>
      </c>
      <c r="E55" s="8">
        <v>453</v>
      </c>
      <c r="F55" s="8">
        <v>453</v>
      </c>
      <c r="G55" s="8">
        <v>28</v>
      </c>
      <c r="I55" s="8">
        <v>101</v>
      </c>
      <c r="K55" s="8">
        <v>215</v>
      </c>
    </row>
    <row r="56" spans="1:11" x14ac:dyDescent="0.3">
      <c r="A56" s="5" t="s">
        <v>10</v>
      </c>
      <c r="B56" s="8">
        <v>467</v>
      </c>
      <c r="C56" s="8">
        <v>467</v>
      </c>
      <c r="D56" s="8">
        <v>398</v>
      </c>
      <c r="E56" s="8">
        <v>446</v>
      </c>
      <c r="F56" s="1">
        <v>445</v>
      </c>
      <c r="G56" s="8">
        <v>28</v>
      </c>
      <c r="I56" s="8">
        <v>101</v>
      </c>
      <c r="K56" s="1">
        <v>211</v>
      </c>
    </row>
    <row r="57" spans="1:11" x14ac:dyDescent="0.3">
      <c r="A57" s="5" t="s">
        <v>6</v>
      </c>
      <c r="B57" s="1">
        <v>58</v>
      </c>
      <c r="C57" s="1">
        <v>60</v>
      </c>
      <c r="D57" s="1">
        <v>40</v>
      </c>
      <c r="E57" s="1">
        <v>47</v>
      </c>
      <c r="F57" s="1">
        <v>46</v>
      </c>
      <c r="G57" s="1">
        <v>2</v>
      </c>
      <c r="I57" s="1">
        <v>6</v>
      </c>
      <c r="K57" s="1">
        <v>32</v>
      </c>
    </row>
    <row r="58" spans="1:11" x14ac:dyDescent="0.3">
      <c r="A58" s="5" t="s">
        <v>7</v>
      </c>
      <c r="B58" s="8">
        <v>17</v>
      </c>
      <c r="C58" s="8">
        <v>15</v>
      </c>
      <c r="D58" s="8">
        <v>16</v>
      </c>
      <c r="E58" s="8">
        <v>18</v>
      </c>
      <c r="F58" s="1">
        <v>18</v>
      </c>
      <c r="G58" s="8">
        <v>2</v>
      </c>
      <c r="I58" s="8">
        <v>5</v>
      </c>
      <c r="K58" s="1">
        <v>11</v>
      </c>
    </row>
    <row r="59" spans="1:11" x14ac:dyDescent="0.3">
      <c r="A59" s="5" t="s">
        <v>8</v>
      </c>
      <c r="B59" s="8">
        <v>6</v>
      </c>
      <c r="C59" s="8">
        <v>6</v>
      </c>
      <c r="D59" s="8">
        <v>4</v>
      </c>
      <c r="E59" s="8">
        <v>4</v>
      </c>
      <c r="F59" s="1">
        <v>4</v>
      </c>
      <c r="G59" s="8">
        <v>2</v>
      </c>
      <c r="I59" s="8">
        <v>1</v>
      </c>
      <c r="K59" s="1">
        <v>1</v>
      </c>
    </row>
    <row r="60" spans="1:11" x14ac:dyDescent="0.3">
      <c r="A60" s="5" t="s">
        <v>15</v>
      </c>
      <c r="B60" s="7">
        <f t="shared" ref="B60:F60" si="18">B58/B57</f>
        <v>0.29310344827586204</v>
      </c>
      <c r="C60" s="7">
        <f t="shared" si="18"/>
        <v>0.25</v>
      </c>
      <c r="D60" s="7">
        <f t="shared" si="18"/>
        <v>0.4</v>
      </c>
      <c r="E60" s="7">
        <f t="shared" si="18"/>
        <v>0.38297872340425532</v>
      </c>
      <c r="F60" s="7">
        <f t="shared" si="18"/>
        <v>0.39130434782608697</v>
      </c>
      <c r="G60" s="7">
        <f t="shared" ref="G60:K60" si="19">G58/G57</f>
        <v>1</v>
      </c>
      <c r="H60" s="7"/>
      <c r="I60" s="7">
        <f t="shared" si="19"/>
        <v>0.83333333333333337</v>
      </c>
      <c r="J60" s="7"/>
      <c r="K60" s="7">
        <f t="shared" si="19"/>
        <v>0.34375</v>
      </c>
    </row>
    <row r="61" spans="1:11" x14ac:dyDescent="0.3">
      <c r="A61" s="5" t="s">
        <v>16</v>
      </c>
      <c r="B61" s="7">
        <f t="shared" ref="B61:F61" si="20">B59/B57</f>
        <v>0.10344827586206896</v>
      </c>
      <c r="C61" s="7">
        <f t="shared" si="20"/>
        <v>0.1</v>
      </c>
      <c r="D61" s="7">
        <f t="shared" si="20"/>
        <v>0.1</v>
      </c>
      <c r="E61" s="7">
        <f t="shared" si="20"/>
        <v>8.5106382978723402E-2</v>
      </c>
      <c r="F61" s="7">
        <f t="shared" si="20"/>
        <v>8.6956521739130432E-2</v>
      </c>
      <c r="G61" s="7">
        <f t="shared" ref="G61:K61" si="21">G59/G57</f>
        <v>1</v>
      </c>
      <c r="H61" s="7"/>
      <c r="I61" s="7">
        <f t="shared" si="21"/>
        <v>0.16666666666666666</v>
      </c>
      <c r="J61" s="7"/>
      <c r="K61" s="7">
        <f t="shared" si="21"/>
        <v>3.125E-2</v>
      </c>
    </row>
    <row r="63" spans="1:11" x14ac:dyDescent="0.3">
      <c r="A63" s="1"/>
      <c r="B63" s="8" t="s">
        <v>31</v>
      </c>
      <c r="C63" s="8"/>
      <c r="D63" s="8"/>
      <c r="E63" s="8"/>
    </row>
    <row r="64" spans="1:11" x14ac:dyDescent="0.3">
      <c r="A64" s="1"/>
      <c r="B64" s="8" t="s">
        <v>20</v>
      </c>
      <c r="C64" s="8" t="s">
        <v>21</v>
      </c>
      <c r="D64" s="8" t="s">
        <v>22</v>
      </c>
      <c r="E64" s="8" t="s">
        <v>25</v>
      </c>
      <c r="G64" s="1" t="s">
        <v>11</v>
      </c>
      <c r="I64" s="1" t="s">
        <v>12</v>
      </c>
      <c r="K64" s="1" t="s">
        <v>13</v>
      </c>
    </row>
    <row r="65" spans="1:11" x14ac:dyDescent="0.3">
      <c r="A65" s="5" t="s">
        <v>9</v>
      </c>
      <c r="B65" s="8">
        <v>502</v>
      </c>
      <c r="C65" s="8">
        <v>502</v>
      </c>
      <c r="D65" s="8">
        <v>502</v>
      </c>
      <c r="E65" s="8">
        <v>361</v>
      </c>
      <c r="G65" s="8">
        <v>18</v>
      </c>
      <c r="I65" s="8">
        <v>72</v>
      </c>
      <c r="K65" s="1">
        <v>125</v>
      </c>
    </row>
    <row r="66" spans="1:11" x14ac:dyDescent="0.3">
      <c r="A66" s="5" t="s">
        <v>10</v>
      </c>
      <c r="B66" s="8">
        <v>428</v>
      </c>
      <c r="C66" s="8">
        <v>428</v>
      </c>
      <c r="D66" s="8">
        <v>318</v>
      </c>
      <c r="E66" s="8">
        <v>354</v>
      </c>
      <c r="G66" s="8">
        <v>18</v>
      </c>
      <c r="I66" s="8">
        <v>71</v>
      </c>
      <c r="K66" s="1">
        <v>123</v>
      </c>
    </row>
    <row r="67" spans="1:11" x14ac:dyDescent="0.3">
      <c r="A67" s="5" t="s">
        <v>6</v>
      </c>
      <c r="B67" s="1">
        <v>61</v>
      </c>
      <c r="C67" s="1">
        <v>57</v>
      </c>
      <c r="D67" s="1">
        <v>38</v>
      </c>
      <c r="E67" s="1">
        <v>45</v>
      </c>
      <c r="G67" s="1">
        <v>5</v>
      </c>
      <c r="I67" s="1">
        <v>7</v>
      </c>
      <c r="K67" s="1">
        <v>23</v>
      </c>
    </row>
    <row r="68" spans="1:11" x14ac:dyDescent="0.3">
      <c r="A68" s="5" t="s">
        <v>7</v>
      </c>
      <c r="B68" s="8">
        <v>20</v>
      </c>
      <c r="C68" s="8">
        <v>16</v>
      </c>
      <c r="D68" s="8">
        <v>16</v>
      </c>
      <c r="E68" s="8">
        <v>16</v>
      </c>
      <c r="G68" s="8">
        <v>1</v>
      </c>
      <c r="I68" s="8">
        <v>4</v>
      </c>
      <c r="K68" s="1">
        <v>10</v>
      </c>
    </row>
    <row r="69" spans="1:11" x14ac:dyDescent="0.3">
      <c r="A69" s="5" t="s">
        <v>8</v>
      </c>
      <c r="B69" s="8">
        <v>7</v>
      </c>
      <c r="C69" s="8">
        <v>6</v>
      </c>
      <c r="D69" s="8">
        <v>3</v>
      </c>
      <c r="E69" s="8">
        <v>3</v>
      </c>
      <c r="G69" s="8">
        <v>1</v>
      </c>
      <c r="I69" s="8">
        <v>1</v>
      </c>
      <c r="K69" s="1">
        <v>1</v>
      </c>
    </row>
    <row r="70" spans="1:11" x14ac:dyDescent="0.3">
      <c r="A70" s="5" t="s">
        <v>15</v>
      </c>
      <c r="B70" s="7">
        <f t="shared" ref="B70:E70" si="22">B68/B67</f>
        <v>0.32786885245901637</v>
      </c>
      <c r="C70" s="7">
        <f t="shared" si="22"/>
        <v>0.2807017543859649</v>
      </c>
      <c r="D70" s="7">
        <f t="shared" si="22"/>
        <v>0.42105263157894735</v>
      </c>
      <c r="E70" s="7">
        <f t="shared" si="22"/>
        <v>0.35555555555555557</v>
      </c>
      <c r="F70" s="7"/>
      <c r="G70" s="7">
        <f t="shared" ref="F70:K70" si="23">G68/G67</f>
        <v>0.2</v>
      </c>
      <c r="H70" s="7"/>
      <c r="I70" s="7">
        <f t="shared" si="23"/>
        <v>0.5714285714285714</v>
      </c>
      <c r="J70" s="7"/>
      <c r="K70" s="7">
        <f t="shared" si="23"/>
        <v>0.43478260869565216</v>
      </c>
    </row>
    <row r="71" spans="1:11" x14ac:dyDescent="0.3">
      <c r="A71" s="5" t="s">
        <v>16</v>
      </c>
      <c r="B71" s="7">
        <f t="shared" ref="B71:E71" si="24">B69/B67</f>
        <v>0.11475409836065574</v>
      </c>
      <c r="C71" s="7">
        <f t="shared" si="24"/>
        <v>0.10526315789473684</v>
      </c>
      <c r="D71" s="7">
        <f t="shared" si="24"/>
        <v>7.8947368421052627E-2</v>
      </c>
      <c r="E71" s="7">
        <f t="shared" si="24"/>
        <v>6.6666666666666666E-2</v>
      </c>
      <c r="F71" s="7"/>
      <c r="G71" s="7">
        <f t="shared" ref="F71:K71" si="25">G69/G67</f>
        <v>0.2</v>
      </c>
      <c r="H71" s="7"/>
      <c r="I71" s="7">
        <f t="shared" si="25"/>
        <v>0.14285714285714285</v>
      </c>
      <c r="J71" s="7"/>
      <c r="K71" s="7">
        <f t="shared" si="25"/>
        <v>4.3478260869565216E-2</v>
      </c>
    </row>
    <row r="73" spans="1:11" x14ac:dyDescent="0.3">
      <c r="A73" s="1"/>
      <c r="B73" s="8" t="s">
        <v>32</v>
      </c>
      <c r="C73" s="8"/>
      <c r="D73" s="8"/>
      <c r="E73" s="8"/>
    </row>
    <row r="74" spans="1:11" x14ac:dyDescent="0.3">
      <c r="A74" s="1"/>
      <c r="B74" s="8" t="s">
        <v>20</v>
      </c>
      <c r="C74" s="8" t="s">
        <v>21</v>
      </c>
      <c r="D74" s="8" t="s">
        <v>22</v>
      </c>
      <c r="E74" s="8" t="s">
        <v>25</v>
      </c>
      <c r="G74" s="1" t="s">
        <v>11</v>
      </c>
      <c r="I74" s="1" t="s">
        <v>12</v>
      </c>
      <c r="K74" s="1" t="s">
        <v>13</v>
      </c>
    </row>
    <row r="75" spans="1:11" x14ac:dyDescent="0.3">
      <c r="A75" s="5" t="s">
        <v>9</v>
      </c>
      <c r="B75" s="8">
        <v>240</v>
      </c>
      <c r="C75" s="8">
        <v>240</v>
      </c>
      <c r="D75" s="8">
        <v>240</v>
      </c>
      <c r="E75" s="8">
        <v>225</v>
      </c>
      <c r="G75" s="8">
        <v>11</v>
      </c>
      <c r="I75" s="8">
        <v>28</v>
      </c>
      <c r="K75" s="1">
        <v>46</v>
      </c>
    </row>
    <row r="76" spans="1:11" x14ac:dyDescent="0.3">
      <c r="A76" s="5" t="s">
        <v>10</v>
      </c>
      <c r="B76" s="8">
        <v>302</v>
      </c>
      <c r="C76" s="8">
        <v>302</v>
      </c>
      <c r="D76" s="8">
        <v>189</v>
      </c>
      <c r="E76" s="8">
        <v>219</v>
      </c>
      <c r="G76" s="8">
        <v>11</v>
      </c>
      <c r="I76" s="8">
        <v>27</v>
      </c>
      <c r="K76" s="1">
        <v>45</v>
      </c>
    </row>
    <row r="77" spans="1:11" x14ac:dyDescent="0.3">
      <c r="A77" s="5" t="s">
        <v>6</v>
      </c>
      <c r="B77" s="1">
        <v>17</v>
      </c>
      <c r="C77" s="1">
        <v>21</v>
      </c>
      <c r="D77" s="1">
        <v>18</v>
      </c>
      <c r="E77" s="1">
        <v>20</v>
      </c>
      <c r="G77" s="1">
        <v>0</v>
      </c>
      <c r="I77" s="1">
        <v>2</v>
      </c>
      <c r="K77" s="1">
        <v>10</v>
      </c>
    </row>
    <row r="78" spans="1:11" x14ac:dyDescent="0.3">
      <c r="A78" s="5" t="s">
        <v>7</v>
      </c>
      <c r="B78" s="8">
        <v>7</v>
      </c>
      <c r="C78" s="8">
        <v>7</v>
      </c>
      <c r="D78" s="8">
        <v>7</v>
      </c>
      <c r="E78" s="8">
        <v>7</v>
      </c>
      <c r="G78" s="8">
        <v>0</v>
      </c>
      <c r="I78" s="8">
        <v>1</v>
      </c>
      <c r="K78" s="1">
        <v>6</v>
      </c>
    </row>
    <row r="79" spans="1:11" x14ac:dyDescent="0.3">
      <c r="A79" s="5" t="s">
        <v>8</v>
      </c>
      <c r="B79" s="8">
        <v>1</v>
      </c>
      <c r="C79" s="8">
        <v>1</v>
      </c>
      <c r="D79" s="8">
        <v>1</v>
      </c>
      <c r="E79" s="8">
        <v>1</v>
      </c>
      <c r="G79" s="8">
        <v>0</v>
      </c>
      <c r="I79" s="8">
        <v>1</v>
      </c>
      <c r="K79" s="1">
        <v>0</v>
      </c>
    </row>
    <row r="80" spans="1:11" x14ac:dyDescent="0.3">
      <c r="A80" s="5" t="s">
        <v>15</v>
      </c>
      <c r="B80" s="7">
        <f t="shared" ref="B80:E80" si="26">B78/B77</f>
        <v>0.41176470588235292</v>
      </c>
      <c r="C80" s="7">
        <f t="shared" si="26"/>
        <v>0.33333333333333331</v>
      </c>
      <c r="D80" s="7">
        <f t="shared" si="26"/>
        <v>0.3888888888888889</v>
      </c>
      <c r="E80" s="7">
        <f t="shared" si="26"/>
        <v>0.35</v>
      </c>
      <c r="F80" s="7"/>
      <c r="G80" s="7"/>
      <c r="H80" s="7"/>
      <c r="I80" s="7">
        <f t="shared" ref="F80:K80" si="27">I78/I77</f>
        <v>0.5</v>
      </c>
      <c r="J80" s="7"/>
      <c r="K80" s="7">
        <f t="shared" si="27"/>
        <v>0.6</v>
      </c>
    </row>
    <row r="81" spans="1:12" x14ac:dyDescent="0.3">
      <c r="A81" s="5" t="s">
        <v>16</v>
      </c>
      <c r="B81" s="7">
        <f t="shared" ref="B81:E81" si="28">B79/B77</f>
        <v>5.8823529411764705E-2</v>
      </c>
      <c r="C81" s="7">
        <f t="shared" si="28"/>
        <v>4.7619047619047616E-2</v>
      </c>
      <c r="D81" s="7">
        <f t="shared" si="28"/>
        <v>5.5555555555555552E-2</v>
      </c>
      <c r="E81" s="7">
        <f t="shared" si="28"/>
        <v>0.05</v>
      </c>
      <c r="F81" s="7"/>
      <c r="G81" s="7"/>
      <c r="H81" s="7"/>
      <c r="I81" s="7">
        <f t="shared" ref="F81:K81" si="29">I79/I77</f>
        <v>0.5</v>
      </c>
      <c r="J81" s="7"/>
      <c r="K81" s="7">
        <f t="shared" si="29"/>
        <v>0</v>
      </c>
    </row>
    <row r="83" spans="1:12" x14ac:dyDescent="0.3">
      <c r="A83" s="1"/>
      <c r="B83" s="8" t="s">
        <v>33</v>
      </c>
      <c r="C83" s="8"/>
      <c r="D83" s="8"/>
      <c r="E83" s="8"/>
      <c r="F83" s="1"/>
    </row>
    <row r="84" spans="1:12" x14ac:dyDescent="0.3">
      <c r="A84" s="1"/>
      <c r="B84" s="8" t="s">
        <v>20</v>
      </c>
      <c r="C84" s="8" t="s">
        <v>21</v>
      </c>
      <c r="D84" s="8" t="s">
        <v>22</v>
      </c>
      <c r="E84" s="8" t="s">
        <v>25</v>
      </c>
      <c r="F84" s="1"/>
      <c r="G84" s="1" t="s">
        <v>11</v>
      </c>
      <c r="I84" s="1" t="s">
        <v>12</v>
      </c>
      <c r="K84" s="1" t="s">
        <v>13</v>
      </c>
    </row>
    <row r="85" spans="1:12" x14ac:dyDescent="0.3">
      <c r="A85" s="5" t="s">
        <v>9</v>
      </c>
      <c r="B85" s="8">
        <v>226</v>
      </c>
      <c r="C85" s="8">
        <v>226</v>
      </c>
      <c r="D85" s="8">
        <v>226</v>
      </c>
      <c r="E85" s="8">
        <v>177</v>
      </c>
      <c r="F85" s="1">
        <v>177</v>
      </c>
      <c r="G85" s="8">
        <v>21</v>
      </c>
      <c r="I85" s="8">
        <v>28</v>
      </c>
      <c r="K85" s="1">
        <v>70</v>
      </c>
      <c r="L85" s="1">
        <v>70</v>
      </c>
    </row>
    <row r="86" spans="1:12" x14ac:dyDescent="0.3">
      <c r="A86" s="5" t="s">
        <v>10</v>
      </c>
      <c r="B86" s="1">
        <v>192</v>
      </c>
      <c r="C86" s="8">
        <v>191</v>
      </c>
      <c r="D86" s="8">
        <v>151</v>
      </c>
      <c r="E86" s="8">
        <v>172</v>
      </c>
      <c r="F86" s="1">
        <v>168</v>
      </c>
      <c r="G86" s="8">
        <v>21</v>
      </c>
      <c r="I86" s="8">
        <v>28</v>
      </c>
      <c r="K86" s="1">
        <v>68</v>
      </c>
      <c r="L86" s="1">
        <v>66</v>
      </c>
    </row>
    <row r="87" spans="1:12" x14ac:dyDescent="0.3">
      <c r="A87" s="5" t="s">
        <v>6</v>
      </c>
      <c r="B87" s="1">
        <v>84</v>
      </c>
      <c r="C87" s="1">
        <v>77</v>
      </c>
      <c r="D87" s="1">
        <v>70</v>
      </c>
      <c r="E87" s="1">
        <v>88</v>
      </c>
      <c r="F87" s="1">
        <v>84</v>
      </c>
      <c r="G87" s="1">
        <v>14</v>
      </c>
      <c r="I87" s="1">
        <v>21</v>
      </c>
      <c r="K87" s="1">
        <v>35</v>
      </c>
      <c r="L87" s="1">
        <v>33</v>
      </c>
    </row>
    <row r="88" spans="1:12" x14ac:dyDescent="0.3">
      <c r="A88" s="5" t="s">
        <v>7</v>
      </c>
      <c r="B88" s="8">
        <v>50</v>
      </c>
      <c r="C88" s="8">
        <v>45</v>
      </c>
      <c r="D88" s="8">
        <v>45</v>
      </c>
      <c r="E88" s="1">
        <v>55</v>
      </c>
      <c r="F88" s="1">
        <v>55</v>
      </c>
      <c r="G88" s="8">
        <v>11</v>
      </c>
      <c r="I88" s="1">
        <v>15</v>
      </c>
      <c r="K88" s="1">
        <v>27</v>
      </c>
      <c r="L88" s="1">
        <v>27</v>
      </c>
    </row>
    <row r="89" spans="1:12" x14ac:dyDescent="0.3">
      <c r="A89" s="5" t="s">
        <v>8</v>
      </c>
      <c r="B89" s="8">
        <v>38</v>
      </c>
      <c r="C89" s="8">
        <v>34</v>
      </c>
      <c r="D89" s="8">
        <v>33</v>
      </c>
      <c r="E89" s="1">
        <v>39</v>
      </c>
      <c r="F89" s="1">
        <v>39</v>
      </c>
      <c r="G89" s="8">
        <v>10</v>
      </c>
      <c r="I89" s="1">
        <v>11</v>
      </c>
      <c r="K89" s="1">
        <v>17</v>
      </c>
      <c r="L89" s="1">
        <v>17</v>
      </c>
    </row>
    <row r="90" spans="1:12" x14ac:dyDescent="0.3">
      <c r="A90" s="5" t="s">
        <v>15</v>
      </c>
      <c r="B90" s="7">
        <f t="shared" ref="B90:F90" si="30">B88/B87</f>
        <v>0.59523809523809523</v>
      </c>
      <c r="C90" s="7">
        <f t="shared" si="30"/>
        <v>0.58441558441558439</v>
      </c>
      <c r="D90" s="7">
        <f t="shared" si="30"/>
        <v>0.6428571428571429</v>
      </c>
      <c r="E90" s="7">
        <f t="shared" si="30"/>
        <v>0.625</v>
      </c>
      <c r="F90" s="7">
        <f t="shared" si="30"/>
        <v>0.65476190476190477</v>
      </c>
      <c r="G90" s="7">
        <f t="shared" ref="G90:L90" si="31">G88/G87</f>
        <v>0.7857142857142857</v>
      </c>
      <c r="H90" s="7"/>
      <c r="I90" s="7">
        <f t="shared" si="31"/>
        <v>0.7142857142857143</v>
      </c>
      <c r="J90" s="7"/>
      <c r="K90" s="7">
        <f t="shared" si="31"/>
        <v>0.77142857142857146</v>
      </c>
      <c r="L90" s="7">
        <f t="shared" si="31"/>
        <v>0.81818181818181823</v>
      </c>
    </row>
    <row r="91" spans="1:12" x14ac:dyDescent="0.3">
      <c r="A91" s="5" t="s">
        <v>16</v>
      </c>
      <c r="B91" s="7">
        <f t="shared" ref="B91:F91" si="32">B89/B87</f>
        <v>0.45238095238095238</v>
      </c>
      <c r="C91" s="7">
        <f t="shared" si="32"/>
        <v>0.44155844155844154</v>
      </c>
      <c r="D91" s="7">
        <f t="shared" si="32"/>
        <v>0.47142857142857142</v>
      </c>
      <c r="E91" s="7">
        <f t="shared" si="32"/>
        <v>0.44318181818181818</v>
      </c>
      <c r="F91" s="7">
        <f t="shared" si="32"/>
        <v>0.4642857142857143</v>
      </c>
      <c r="G91" s="7">
        <f t="shared" ref="G91:L91" si="33">G89/G87</f>
        <v>0.7142857142857143</v>
      </c>
      <c r="H91" s="7"/>
      <c r="I91" s="7">
        <f t="shared" si="33"/>
        <v>0.52380952380952384</v>
      </c>
      <c r="J91" s="7"/>
      <c r="K91" s="7">
        <f t="shared" si="33"/>
        <v>0.48571428571428571</v>
      </c>
      <c r="L91" s="7">
        <f t="shared" si="33"/>
        <v>0.51515151515151514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Zagaria, Francesco</dc:creator>
  <cp:lastModifiedBy>Zagaria, Francesco</cp:lastModifiedBy>
  <dcterms:created xsi:type="dcterms:W3CDTF">2026-08-31T08:23:55Z</dcterms:created>
  <dcterms:modified xsi:type="dcterms:W3CDTF">2026-09-07T10:08:38Z</dcterms:modified>
</cp:coreProperties>
</file>